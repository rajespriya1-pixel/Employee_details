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3.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PRIYA\Downloads\"/>
    </mc:Choice>
  </mc:AlternateContent>
  <xr:revisionPtr revIDLastSave="0" documentId="13_ncr:1_{9BF13DF4-AA7D-4616-A959-94FC0A2A1D0D}" xr6:coauthVersionLast="47" xr6:coauthVersionMax="47" xr10:uidLastSave="{00000000-0000-0000-0000-000000000000}"/>
  <bookViews>
    <workbookView xWindow="-108" yWindow="-108" windowWidth="23256" windowHeight="12456" tabRatio="910" firstSheet="3" activeTab="9" xr2:uid="{00000000-000D-0000-FFFF-FFFF00000000}"/>
  </bookViews>
  <sheets>
    <sheet name="Power Query" sheetId="20" r:id="rId1"/>
    <sheet name="Data Set" sheetId="1" r:id="rId2"/>
    <sheet name="Department Vs No of Employee" sheetId="5" r:id="rId3"/>
    <sheet name="Gender Vs Employee" sheetId="8" r:id="rId4"/>
    <sheet name="Rating Vs Dept" sheetId="9" r:id="rId5"/>
    <sheet name="Country Vs Dept Vs Salary" sheetId="4" r:id="rId6"/>
    <sheet name="Year of Joining Vs Rating" sheetId="14" r:id="rId7"/>
    <sheet name="Salary Range Vs Dept" sheetId="6" r:id="rId8"/>
    <sheet name="Trendline" sheetId="15" r:id="rId9"/>
    <sheet name="Dashboard" sheetId="19" r:id="rId10"/>
  </sheets>
  <definedNames>
    <definedName name="_xlcn.WorksheetConnection_Employee_DetailsFinal.xlsxTable4" hidden="1">Table4[]</definedName>
    <definedName name="ExternalData_1" localSheetId="0" hidden="1">'Power Query'!$A$1:$J$151</definedName>
    <definedName name="Slicer_Country1">#N/A</definedName>
    <definedName name="Slicer_Department2">#N/A</definedName>
    <definedName name="Slicer_Gender">#N/A</definedName>
    <definedName name="Slicer_Performance_Rating">#N/A</definedName>
    <definedName name="Slicer_Performance_Rating1">#N/A</definedName>
    <definedName name="Slicer_Salary_Range">#N/A</definedName>
  </definedNames>
  <calcPr calcId="191029"/>
  <pivotCaches>
    <pivotCache cacheId="0" r:id="rId11"/>
    <pivotCache cacheId="1" r:id="rId12"/>
    <pivotCache cacheId="2" r:id="rId13"/>
    <pivotCache cacheId="3" r:id="rId14"/>
    <pivotCache cacheId="4" r:id="rId15"/>
    <pivotCache cacheId="5" r:id="rId16"/>
  </pivotCaches>
  <extLst>
    <ext xmlns:x14="http://schemas.microsoft.com/office/spreadsheetml/2009/9/main" uri="{876F7934-8845-4945-9796-88D515C7AA90}">
      <x14:pivotCaches>
        <pivotCache cacheId="6"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Employee_Details Final.xlsx!Table4"/>
        </x15:modelTables>
        <x15:extLst>
          <ext xmlns:x16="http://schemas.microsoft.com/office/spreadsheetml/2014/11/main" uri="{9835A34E-60A6-4A7C-AAB8-D5F71C897F49}">
            <x16:modelTimeGroupings>
              <x16:modelTimeGrouping tableName="Table4" columnName="Date of Joining" columnId="Date of Joining">
                <x16:calculatedTimeColumn columnName="Date of Joining (Year)" columnId="Date of Joining (Year)" contentType="years" isSelected="1"/>
                <x16:calculatedTimeColumn columnName="Date of Joining (Quarter)" columnId="Date of Joining (Quarter)" contentType="quarters" isSelected="1"/>
                <x16:calculatedTimeColumn columnName="Date of Joining (Month Index)" columnId="Date of Joining (Month Index)" contentType="monthsindex" isSelected="1"/>
                <x16:calculatedTimeColumn columnName="Date of Joining (Month)" columnId="Date of Joining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2" i="1"/>
  <c r="C151" i="15"/>
  <c r="C163" i="15"/>
  <c r="C175" i="15"/>
  <c r="C187" i="15"/>
  <c r="C167" i="15"/>
  <c r="C156" i="15"/>
  <c r="C169" i="15"/>
  <c r="C158" i="15"/>
  <c r="C152" i="15"/>
  <c r="C164" i="15"/>
  <c r="C176" i="15"/>
  <c r="C188" i="15"/>
  <c r="C179" i="15"/>
  <c r="C180" i="15"/>
  <c r="C157" i="15"/>
  <c r="C171" i="15"/>
  <c r="C153" i="15"/>
  <c r="C165" i="15"/>
  <c r="C177" i="15"/>
  <c r="C183" i="15"/>
  <c r="C154" i="15"/>
  <c r="C166" i="15"/>
  <c r="C178" i="15"/>
  <c r="C168" i="15"/>
  <c r="C181" i="15"/>
  <c r="C170" i="15"/>
  <c r="C159" i="15"/>
  <c r="C184" i="15"/>
  <c r="C155" i="15"/>
  <c r="C161" i="15"/>
  <c r="C173" i="15"/>
  <c r="C185" i="15"/>
  <c r="C182" i="15"/>
  <c r="C160" i="15"/>
  <c r="C162" i="15"/>
  <c r="C174" i="15"/>
  <c r="C186" i="15"/>
  <c r="C172" i="15"/>
  <c r="E172" i="15" l="1"/>
  <c r="D185" i="15"/>
  <c r="D170" i="15"/>
  <c r="E183" i="15"/>
  <c r="E180" i="15"/>
  <c r="D158" i="15"/>
  <c r="E163" i="15"/>
  <c r="E185" i="15"/>
  <c r="E170" i="15"/>
  <c r="D183" i="15"/>
  <c r="D180" i="15"/>
  <c r="E158" i="15"/>
  <c r="D163" i="15"/>
  <c r="E173" i="15"/>
  <c r="D177" i="15"/>
  <c r="D179" i="15"/>
  <c r="E151" i="15"/>
  <c r="D161" i="15"/>
  <c r="D165" i="15"/>
  <c r="D156" i="15"/>
  <c r="E161" i="15"/>
  <c r="E165" i="15"/>
  <c r="D162" i="15"/>
  <c r="E178" i="15"/>
  <c r="E153" i="15"/>
  <c r="E167" i="15"/>
  <c r="E155" i="15"/>
  <c r="D153" i="15"/>
  <c r="D167" i="15"/>
  <c r="E184" i="15"/>
  <c r="D164" i="15"/>
  <c r="D160" i="15"/>
  <c r="D171" i="15"/>
  <c r="D187" i="15"/>
  <c r="E159" i="15"/>
  <c r="E157" i="15"/>
  <c r="D175" i="15"/>
  <c r="E182" i="15"/>
  <c r="D157" i="15"/>
  <c r="D172" i="15"/>
  <c r="D186" i="15"/>
  <c r="D173" i="15"/>
  <c r="D181" i="15"/>
  <c r="E177" i="15"/>
  <c r="E179" i="15"/>
  <c r="E169" i="15"/>
  <c r="D151" i="15"/>
  <c r="E186" i="15"/>
  <c r="E181" i="15"/>
  <c r="D169" i="15"/>
  <c r="D174" i="15"/>
  <c r="D168" i="15"/>
  <c r="E188" i="15"/>
  <c r="E168" i="15"/>
  <c r="D188" i="15"/>
  <c r="E156" i="15"/>
  <c r="D155" i="15"/>
  <c r="E176" i="15"/>
  <c r="E162" i="15"/>
  <c r="D178" i="15"/>
  <c r="D176" i="15"/>
  <c r="E160" i="15"/>
  <c r="E166" i="15"/>
  <c r="E171" i="15"/>
  <c r="D184" i="15"/>
  <c r="D166" i="15"/>
  <c r="E164" i="15"/>
  <c r="D182" i="15"/>
  <c r="E154" i="15"/>
  <c r="E152" i="15"/>
  <c r="D159" i="15"/>
  <c r="D154" i="15"/>
  <c r="D152" i="15"/>
  <c r="E175" i="15"/>
  <c r="E174" i="15"/>
  <c r="E18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10ADE-88C4-4AD6-A752-50C4F9C766D6}"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2" xr16:uid="{457651D5-3180-48A4-BDCE-4B83A55E9C77}" keepAlive="1" name="Query - Table4 (2)" description="Connection to the 'Table4 (2)' query in the workbook." type="5" refreshedVersion="8" background="1" saveData="1">
    <dbPr connection="Provider=Microsoft.Mashup.OleDb.1;Data Source=$Workbook$;Location=&quot;Table4 (2)&quot;;Extended Properties=&quot;&quot;" command="SELECT * FROM [Table4 (2)]"/>
  </connection>
  <connection id="3" xr16:uid="{5A890B83-3408-4AF9-A4AE-6EDF93B9548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6647BFEF-8181-4553-A28E-F7469A97D7BD}" name="WorksheetConnection_Employee_Details Final.xlsx!Table4" type="102" refreshedVersion="8" minRefreshableVersion="5">
    <extLst>
      <ext xmlns:x15="http://schemas.microsoft.com/office/spreadsheetml/2010/11/main" uri="{DE250136-89BD-433C-8126-D09CA5730AF9}">
        <x15:connection id="Table4" autoDelete="1">
          <x15:rangePr sourceName="_xlcn.WorksheetConnection_Employee_DetailsFinal.xlsxTable4"/>
        </x15:connection>
      </ext>
    </extLst>
  </connection>
</connections>
</file>

<file path=xl/sharedStrings.xml><?xml version="1.0" encoding="utf-8"?>
<sst xmlns="http://schemas.openxmlformats.org/spreadsheetml/2006/main" count="2053" uniqueCount="311">
  <si>
    <t>Employee ID</t>
  </si>
  <si>
    <t>Name</t>
  </si>
  <si>
    <t>Department</t>
  </si>
  <si>
    <t>Country</t>
  </si>
  <si>
    <t>Salary</t>
  </si>
  <si>
    <t>Date of Joining</t>
  </si>
  <si>
    <t>Performance Rating</t>
  </si>
  <si>
    <t>Gender</t>
  </si>
  <si>
    <t>Email</t>
  </si>
  <si>
    <t>EMP1000</t>
  </si>
  <si>
    <t>EMP1001</t>
  </si>
  <si>
    <t>EMP1002</t>
  </si>
  <si>
    <t>EMP1003</t>
  </si>
  <si>
    <t>EMP1004</t>
  </si>
  <si>
    <t>EMP1005</t>
  </si>
  <si>
    <t>EMP1006</t>
  </si>
  <si>
    <t>EMP1007</t>
  </si>
  <si>
    <t>EMP1008</t>
  </si>
  <si>
    <t>EMP1009</t>
  </si>
  <si>
    <t>EMP1010</t>
  </si>
  <si>
    <t>EMP1011</t>
  </si>
  <si>
    <t>EMP1012</t>
  </si>
  <si>
    <t>EMP1013</t>
  </si>
  <si>
    <t>EMP1014</t>
  </si>
  <si>
    <t>EMP1015</t>
  </si>
  <si>
    <t>EMP1016</t>
  </si>
  <si>
    <t>EMP1017</t>
  </si>
  <si>
    <t>EMP1018</t>
  </si>
  <si>
    <t>EMP1019</t>
  </si>
  <si>
    <t>EMP1020</t>
  </si>
  <si>
    <t>EMP1021</t>
  </si>
  <si>
    <t>EMP1022</t>
  </si>
  <si>
    <t>EMP1023</t>
  </si>
  <si>
    <t>EMP1024</t>
  </si>
  <si>
    <t>EMP1025</t>
  </si>
  <si>
    <t>EMP1026</t>
  </si>
  <si>
    <t>EMP1027</t>
  </si>
  <si>
    <t>EMP1028</t>
  </si>
  <si>
    <t>EMP1029</t>
  </si>
  <si>
    <t>EMP1030</t>
  </si>
  <si>
    <t>EMP1031</t>
  </si>
  <si>
    <t>EMP1032</t>
  </si>
  <si>
    <t>EMP1033</t>
  </si>
  <si>
    <t>EMP1034</t>
  </si>
  <si>
    <t>EMP1035</t>
  </si>
  <si>
    <t>EMP1036</t>
  </si>
  <si>
    <t>EMP1037</t>
  </si>
  <si>
    <t>EMP1038</t>
  </si>
  <si>
    <t>EMP1039</t>
  </si>
  <si>
    <t>EMP1040</t>
  </si>
  <si>
    <t>EMP1041</t>
  </si>
  <si>
    <t>EMP1042</t>
  </si>
  <si>
    <t>EMP1043</t>
  </si>
  <si>
    <t>EMP1044</t>
  </si>
  <si>
    <t>EMP1045</t>
  </si>
  <si>
    <t>EMP1046</t>
  </si>
  <si>
    <t>EMP1047</t>
  </si>
  <si>
    <t>EMP1048</t>
  </si>
  <si>
    <t>EMP1049</t>
  </si>
  <si>
    <t>EMP1050</t>
  </si>
  <si>
    <t>EMP1051</t>
  </si>
  <si>
    <t>EMP1052</t>
  </si>
  <si>
    <t>EMP1053</t>
  </si>
  <si>
    <t>EMP1054</t>
  </si>
  <si>
    <t>EMP1055</t>
  </si>
  <si>
    <t>EMP1056</t>
  </si>
  <si>
    <t>EMP1057</t>
  </si>
  <si>
    <t>EMP1058</t>
  </si>
  <si>
    <t>EMP1059</t>
  </si>
  <si>
    <t>EMP1060</t>
  </si>
  <si>
    <t>EMP1061</t>
  </si>
  <si>
    <t>EMP1062</t>
  </si>
  <si>
    <t>EMP1063</t>
  </si>
  <si>
    <t>EMP1064</t>
  </si>
  <si>
    <t>EMP1065</t>
  </si>
  <si>
    <t>EMP1066</t>
  </si>
  <si>
    <t>EMP1067</t>
  </si>
  <si>
    <t>EMP1068</t>
  </si>
  <si>
    <t>EMP1069</t>
  </si>
  <si>
    <t>EMP1070</t>
  </si>
  <si>
    <t>EMP1071</t>
  </si>
  <si>
    <t>EMP1072</t>
  </si>
  <si>
    <t>EMP1073</t>
  </si>
  <si>
    <t>EMP1074</t>
  </si>
  <si>
    <t>EMP1075</t>
  </si>
  <si>
    <t>EMP1076</t>
  </si>
  <si>
    <t>EMP1077</t>
  </si>
  <si>
    <t>EMP1078</t>
  </si>
  <si>
    <t>EMP1079</t>
  </si>
  <si>
    <t>EMP1080</t>
  </si>
  <si>
    <t>EMP1081</t>
  </si>
  <si>
    <t>EMP1082</t>
  </si>
  <si>
    <t>EMP1083</t>
  </si>
  <si>
    <t>EMP1084</t>
  </si>
  <si>
    <t>EMP1085</t>
  </si>
  <si>
    <t>EMP1086</t>
  </si>
  <si>
    <t>EMP1087</t>
  </si>
  <si>
    <t>EMP1088</t>
  </si>
  <si>
    <t>EMP1089</t>
  </si>
  <si>
    <t>EMP1090</t>
  </si>
  <si>
    <t>EMP1091</t>
  </si>
  <si>
    <t>EMP1092</t>
  </si>
  <si>
    <t>EMP1093</t>
  </si>
  <si>
    <t>EMP1094</t>
  </si>
  <si>
    <t>EMP1095</t>
  </si>
  <si>
    <t>EMP1096</t>
  </si>
  <si>
    <t>EMP1097</t>
  </si>
  <si>
    <t>EMP1098</t>
  </si>
  <si>
    <t>EMP1099</t>
  </si>
  <si>
    <t>EMP1100</t>
  </si>
  <si>
    <t>EMP1101</t>
  </si>
  <si>
    <t>EMP1102</t>
  </si>
  <si>
    <t>EMP1103</t>
  </si>
  <si>
    <t>EMP1104</t>
  </si>
  <si>
    <t>EMP1105</t>
  </si>
  <si>
    <t>EMP1106</t>
  </si>
  <si>
    <t>EMP1107</t>
  </si>
  <si>
    <t>EMP1108</t>
  </si>
  <si>
    <t>EMP1109</t>
  </si>
  <si>
    <t>EMP1110</t>
  </si>
  <si>
    <t>EMP1111</t>
  </si>
  <si>
    <t>EMP1112</t>
  </si>
  <si>
    <t>EMP1113</t>
  </si>
  <si>
    <t>EMP1114</t>
  </si>
  <si>
    <t>EMP1115</t>
  </si>
  <si>
    <t>EMP1116</t>
  </si>
  <si>
    <t>EMP1117</t>
  </si>
  <si>
    <t>EMP1118</t>
  </si>
  <si>
    <t>EMP1119</t>
  </si>
  <si>
    <t>EMP1120</t>
  </si>
  <si>
    <t>EMP1121</t>
  </si>
  <si>
    <t>EMP1122</t>
  </si>
  <si>
    <t>EMP1123</t>
  </si>
  <si>
    <t>EMP1124</t>
  </si>
  <si>
    <t>EMP1125</t>
  </si>
  <si>
    <t>EMP1126</t>
  </si>
  <si>
    <t>EMP1127</t>
  </si>
  <si>
    <t>EMP1128</t>
  </si>
  <si>
    <t>EMP1129</t>
  </si>
  <si>
    <t>EMP1130</t>
  </si>
  <si>
    <t>EMP1131</t>
  </si>
  <si>
    <t>EMP1132</t>
  </si>
  <si>
    <t>EMP1133</t>
  </si>
  <si>
    <t>EMP1134</t>
  </si>
  <si>
    <t>EMP1135</t>
  </si>
  <si>
    <t>EMP1136</t>
  </si>
  <si>
    <t>EMP1137</t>
  </si>
  <si>
    <t>EMP1138</t>
  </si>
  <si>
    <t>EMP1139</t>
  </si>
  <si>
    <t>EMP1140</t>
  </si>
  <si>
    <t>EMP1141</t>
  </si>
  <si>
    <t>EMP1142</t>
  </si>
  <si>
    <t>EMP1143</t>
  </si>
  <si>
    <t>EMP1144</t>
  </si>
  <si>
    <t>EMP1145</t>
  </si>
  <si>
    <t>EMP1146</t>
  </si>
  <si>
    <t>EMP1147</t>
  </si>
  <si>
    <t>EMP1148</t>
  </si>
  <si>
    <t>EMP1149</t>
  </si>
  <si>
    <t>Eve Adams</t>
  </si>
  <si>
    <t>Alice Brown</t>
  </si>
  <si>
    <t>John Doe</t>
  </si>
  <si>
    <t>Jane Smith</t>
  </si>
  <si>
    <t>Sam Wilson</t>
  </si>
  <si>
    <t>Chris Lee</t>
  </si>
  <si>
    <t>Bob Johnson</t>
  </si>
  <si>
    <t>Finance</t>
  </si>
  <si>
    <t>HR</t>
  </si>
  <si>
    <t>Sales</t>
  </si>
  <si>
    <t>IT</t>
  </si>
  <si>
    <t>Marketing</t>
  </si>
  <si>
    <t>Germany</t>
  </si>
  <si>
    <t>USA</t>
  </si>
  <si>
    <t>India</t>
  </si>
  <si>
    <t>UK</t>
  </si>
  <si>
    <t>Australia</t>
  </si>
  <si>
    <t>Unknown</t>
  </si>
  <si>
    <t>Other</t>
  </si>
  <si>
    <t>Male</t>
  </si>
  <si>
    <t>Female</t>
  </si>
  <si>
    <t>invalid_email</t>
  </si>
  <si>
    <t>user106@example.com</t>
  </si>
  <si>
    <t>user176@example.com</t>
  </si>
  <si>
    <t>user168@example.com</t>
  </si>
  <si>
    <t>user49@example.com</t>
  </si>
  <si>
    <t>user24@example.com</t>
  </si>
  <si>
    <t>user26@example.com</t>
  </si>
  <si>
    <t>user25@example.com</t>
  </si>
  <si>
    <t>user153@example.com</t>
  </si>
  <si>
    <t>user18@example.com</t>
  </si>
  <si>
    <t>user1@example.com</t>
  </si>
  <si>
    <t>user180@example.com</t>
  </si>
  <si>
    <t>user184@example.com</t>
  </si>
  <si>
    <t>user3@example.com</t>
  </si>
  <si>
    <t>user64@example.com</t>
  </si>
  <si>
    <t>user38@example.com</t>
  </si>
  <si>
    <t>user96@example.com</t>
  </si>
  <si>
    <t>user151@example.com</t>
  </si>
  <si>
    <t>user200@example.com</t>
  </si>
  <si>
    <t>user77@example.com</t>
  </si>
  <si>
    <t>user128@example.com</t>
  </si>
  <si>
    <t>user149@example.com</t>
  </si>
  <si>
    <t>user122@example.com</t>
  </si>
  <si>
    <t>user41@example.com</t>
  </si>
  <si>
    <t>user68@example.com</t>
  </si>
  <si>
    <t>user103@example.com</t>
  </si>
  <si>
    <t>user135@example.com</t>
  </si>
  <si>
    <t>user83@example.com</t>
  </si>
  <si>
    <t>user109@example.com</t>
  </si>
  <si>
    <t>user143@example.com</t>
  </si>
  <si>
    <t>user190@example.com</t>
  </si>
  <si>
    <t>user136@example.com</t>
  </si>
  <si>
    <t>user198@example.com</t>
  </si>
  <si>
    <t>user31@example.com</t>
  </si>
  <si>
    <t>user98@example.com</t>
  </si>
  <si>
    <t>user154@example.com</t>
  </si>
  <si>
    <t>user42@example.com</t>
  </si>
  <si>
    <t>user89@example.com</t>
  </si>
  <si>
    <t>user47@example.com</t>
  </si>
  <si>
    <t>user175@example.com</t>
  </si>
  <si>
    <t>user57@example.com</t>
  </si>
  <si>
    <t>user20@example.com</t>
  </si>
  <si>
    <t>user199@example.com</t>
  </si>
  <si>
    <t>user43@example.com</t>
  </si>
  <si>
    <t>user95@example.com</t>
  </si>
  <si>
    <t>user59@example.com</t>
  </si>
  <si>
    <t>user152@example.com</t>
  </si>
  <si>
    <t>user92@example.com</t>
  </si>
  <si>
    <t>user50@example.com</t>
  </si>
  <si>
    <t>user63@example.com</t>
  </si>
  <si>
    <t>user150@example.com</t>
  </si>
  <si>
    <t>user112@example.com</t>
  </si>
  <si>
    <t>user71@example.com</t>
  </si>
  <si>
    <t>user97@example.com</t>
  </si>
  <si>
    <t>user141@example.com</t>
  </si>
  <si>
    <t>user125@example.com</t>
  </si>
  <si>
    <t>user90@example.com</t>
  </si>
  <si>
    <t>user192@example.com</t>
  </si>
  <si>
    <t>user65@example.com</t>
  </si>
  <si>
    <t>user142@example.com</t>
  </si>
  <si>
    <t>user17@example.com</t>
  </si>
  <si>
    <t>user22@example.com</t>
  </si>
  <si>
    <t>user46@example.com</t>
  </si>
  <si>
    <t>user55@example.com</t>
  </si>
  <si>
    <t>user156@example.com</t>
  </si>
  <si>
    <t>user104@example.com</t>
  </si>
  <si>
    <t>user145@example.com</t>
  </si>
  <si>
    <t>user197@example.com</t>
  </si>
  <si>
    <t>user177@example.com</t>
  </si>
  <si>
    <t>user48@example.com</t>
  </si>
  <si>
    <t>user102@example.com</t>
  </si>
  <si>
    <t>user148@example.com</t>
  </si>
  <si>
    <t>user155@example.com</t>
  </si>
  <si>
    <t>user191@example.com</t>
  </si>
  <si>
    <t>user113@example.com</t>
  </si>
  <si>
    <t>user62@example.com</t>
  </si>
  <si>
    <t>user76@example.com</t>
  </si>
  <si>
    <t>user40@example.com</t>
  </si>
  <si>
    <t>user54@example.com</t>
  </si>
  <si>
    <t>user189@example.com</t>
  </si>
  <si>
    <t>user93@example.com</t>
  </si>
  <si>
    <t>user174@example.com</t>
  </si>
  <si>
    <t>user44@example.com</t>
  </si>
  <si>
    <t>user82@example.com</t>
  </si>
  <si>
    <t>user137@example.com</t>
  </si>
  <si>
    <t>user23@example.com</t>
  </si>
  <si>
    <t>user101@example.com</t>
  </si>
  <si>
    <t>user132@example.com</t>
  </si>
  <si>
    <t>user171@example.com</t>
  </si>
  <si>
    <t>user75@example.com</t>
  </si>
  <si>
    <t>user52@example.com</t>
  </si>
  <si>
    <t>user100@example.com</t>
  </si>
  <si>
    <t>user167@example.com</t>
  </si>
  <si>
    <t>user188@example.com</t>
  </si>
  <si>
    <t>user165@example.com</t>
  </si>
  <si>
    <t>user114@example.com</t>
  </si>
  <si>
    <t>user53@example.com</t>
  </si>
  <si>
    <t>user163@example.com</t>
  </si>
  <si>
    <t>user30@example.com</t>
  </si>
  <si>
    <t>Salary Range</t>
  </si>
  <si>
    <t/>
  </si>
  <si>
    <t>Normal Salary</t>
  </si>
  <si>
    <t>High Salary</t>
  </si>
  <si>
    <t>low salary</t>
  </si>
  <si>
    <t>Mean</t>
  </si>
  <si>
    <t>Standard Error</t>
  </si>
  <si>
    <t>Median</t>
  </si>
  <si>
    <t>Mode</t>
  </si>
  <si>
    <t>Standard Deviation</t>
  </si>
  <si>
    <t>Sample Variance</t>
  </si>
  <si>
    <t>Kurtosis</t>
  </si>
  <si>
    <t>Skewness</t>
  </si>
  <si>
    <t>Range</t>
  </si>
  <si>
    <t>Minimum</t>
  </si>
  <si>
    <t>Maximum</t>
  </si>
  <si>
    <t>Sum</t>
  </si>
  <si>
    <t>Count</t>
  </si>
  <si>
    <t>Row Labels</t>
  </si>
  <si>
    <t>Grand Total</t>
  </si>
  <si>
    <t>Count of Employee ID</t>
  </si>
  <si>
    <t>Confidence Level(95.0%)</t>
  </si>
  <si>
    <t>2015</t>
  </si>
  <si>
    <t>2016</t>
  </si>
  <si>
    <t>2017</t>
  </si>
  <si>
    <t>Column Labels</t>
  </si>
  <si>
    <t>Sum of Salary</t>
  </si>
  <si>
    <t>Forecast                 (Performance Rating)</t>
  </si>
  <si>
    <t>Lower Confidence Bound (Performance Rating)</t>
  </si>
  <si>
    <t>Upper Confidence Bound (Performance Rating)</t>
  </si>
  <si>
    <t>EMPLOYEE DASHBOARD</t>
  </si>
  <si>
    <t>Low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</si>
</sst>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sz val="25"/>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8" tint="0.7999816888943144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9">
    <xf numFmtId="0" fontId="0" fillId="0" borderId="0" xfId="0"/>
    <xf numFmtId="0" fontId="1" fillId="0" borderId="0" xfId="0" applyFont="1"/>
    <xf numFmtId="0" fontId="0" fillId="0" borderId="0" xfId="0" applyAlignment="1">
      <alignment horizontal="right"/>
    </xf>
    <xf numFmtId="0" fontId="0" fillId="0" borderId="1" xfId="0" applyBorder="1" applyAlignment="1">
      <alignment horizontal="right"/>
    </xf>
    <xf numFmtId="14" fontId="0" fillId="0" borderId="1" xfId="0" applyNumberFormat="1" applyBorder="1" applyAlignment="1">
      <alignment horizontal="right"/>
    </xf>
    <xf numFmtId="0" fontId="0" fillId="0" borderId="1" xfId="0" applyBorder="1" applyAlignment="1">
      <alignment horizontal="left"/>
    </xf>
    <xf numFmtId="0" fontId="0" fillId="0" borderId="0" xfId="0" applyAlignment="1">
      <alignment horizontal="left"/>
    </xf>
    <xf numFmtId="0" fontId="0" fillId="0" borderId="4" xfId="0" applyBorder="1" applyAlignment="1">
      <alignment horizontal="left"/>
    </xf>
    <xf numFmtId="0" fontId="1" fillId="0" borderId="2" xfId="0" applyFont="1" applyBorder="1" applyAlignment="1">
      <alignment horizontal="left" vertical="top"/>
    </xf>
    <xf numFmtId="0" fontId="1" fillId="0" borderId="2" xfId="0" applyFont="1" applyBorder="1" applyAlignment="1">
      <alignment horizontal="right" vertical="top"/>
    </xf>
    <xf numFmtId="0" fontId="0" fillId="0" borderId="5" xfId="0" applyBorder="1" applyAlignment="1">
      <alignment horizontal="left"/>
    </xf>
    <xf numFmtId="0" fontId="0" fillId="0" borderId="6" xfId="0" applyBorder="1" applyAlignment="1">
      <alignment horizontal="left"/>
    </xf>
    <xf numFmtId="0" fontId="0" fillId="0" borderId="6" xfId="0" applyBorder="1" applyAlignment="1">
      <alignment horizontal="right"/>
    </xf>
    <xf numFmtId="14" fontId="0" fillId="0" borderId="6" xfId="0" applyNumberFormat="1" applyBorder="1" applyAlignment="1">
      <alignment horizontal="right"/>
    </xf>
    <xf numFmtId="0" fontId="0" fillId="0" borderId="3" xfId="0" applyBorder="1" applyAlignment="1">
      <alignment horizontal="left"/>
    </xf>
    <xf numFmtId="0" fontId="0" fillId="0" borderId="2" xfId="0" applyBorder="1" applyAlignment="1">
      <alignment horizontal="left"/>
    </xf>
    <xf numFmtId="0" fontId="0" fillId="0" borderId="0" xfId="0" pivotButton="1"/>
    <xf numFmtId="0" fontId="0" fillId="0" borderId="7" xfId="0" applyBorder="1"/>
    <xf numFmtId="0" fontId="2" fillId="0" borderId="8" xfId="0" applyFont="1" applyBorder="1" applyAlignment="1">
      <alignment horizontal="centerContinuous"/>
    </xf>
    <xf numFmtId="1" fontId="1" fillId="0" borderId="2" xfId="0" applyNumberFormat="1" applyFont="1" applyBorder="1" applyAlignment="1">
      <alignment horizontal="right" vertical="top"/>
    </xf>
    <xf numFmtId="1" fontId="0" fillId="0" borderId="1" xfId="0" applyNumberFormat="1" applyBorder="1" applyAlignment="1">
      <alignment horizontal="right"/>
    </xf>
    <xf numFmtId="1" fontId="0" fillId="0" borderId="6" xfId="0" applyNumberFormat="1" applyBorder="1" applyAlignment="1">
      <alignment horizontal="right"/>
    </xf>
    <xf numFmtId="1" fontId="0" fillId="0" borderId="0" xfId="0" applyNumberFormat="1" applyAlignment="1">
      <alignment horizontal="left"/>
    </xf>
    <xf numFmtId="14" fontId="0" fillId="0" borderId="0" xfId="0" applyNumberFormat="1"/>
    <xf numFmtId="1" fontId="0" fillId="0" borderId="0" xfId="0" applyNumberFormat="1"/>
    <xf numFmtId="0" fontId="0" fillId="0" borderId="0" xfId="0" applyAlignment="1">
      <alignment wrapText="1"/>
    </xf>
    <xf numFmtId="0" fontId="0" fillId="3" borderId="0" xfId="0" applyFill="1"/>
    <xf numFmtId="0" fontId="4" fillId="2" borderId="0" xfId="0" applyFont="1" applyFill="1" applyAlignment="1">
      <alignment horizontal="center" vertical="center"/>
    </xf>
    <xf numFmtId="0" fontId="0" fillId="0" borderId="0" xfId="0" applyNumberFormat="1"/>
  </cellXfs>
  <cellStyles count="1">
    <cellStyle name="Normal" xfId="0" builtinId="0"/>
  </cellStyles>
  <dxfs count="20">
    <dxf>
      <numFmt numFmtId="0" formatCode="General"/>
    </dxf>
    <dxf>
      <numFmt numFmtId="19" formatCode="dd/mm/yyyy"/>
    </dxf>
    <dxf>
      <numFmt numFmtId="1" formatCode="0"/>
    </dxf>
    <dxf>
      <numFmt numFmtId="1" formatCode="0"/>
    </dxf>
    <dxf>
      <numFmt numFmtId="1" formatCode="0"/>
    </dxf>
    <dxf>
      <numFmt numFmtId="19" formatCode="dd/mm/yyyy"/>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 formatCode="0"/>
      <alignment horizontal="right"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19" formatCode="dd/mm/yyyy"/>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auto="1"/>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57F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microsoft.com/office/2007/relationships/slicerCache" Target="slicerCaches/slicerCache6.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F.xlsx]Department Vs No of Employee!PivotTable1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Vs No. of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No of Employee'!$B$1</c:f>
              <c:strCache>
                <c:ptCount val="1"/>
                <c:pt idx="0">
                  <c:v>Total</c:v>
                </c:pt>
              </c:strCache>
            </c:strRef>
          </c:tx>
          <c:spPr>
            <a:solidFill>
              <a:schemeClr val="accent1"/>
            </a:solidFill>
            <a:ln>
              <a:noFill/>
            </a:ln>
            <a:effectLst/>
          </c:spPr>
          <c:invertIfNegative val="0"/>
          <c:cat>
            <c:strRef>
              <c:f>'Department Vs No of Employee'!$A$2:$A$7</c:f>
              <c:strCache>
                <c:ptCount val="5"/>
                <c:pt idx="0">
                  <c:v>Finance</c:v>
                </c:pt>
                <c:pt idx="1">
                  <c:v>HR</c:v>
                </c:pt>
                <c:pt idx="2">
                  <c:v>IT</c:v>
                </c:pt>
                <c:pt idx="3">
                  <c:v>Marketing</c:v>
                </c:pt>
                <c:pt idx="4">
                  <c:v>Sales</c:v>
                </c:pt>
              </c:strCache>
            </c:strRef>
          </c:cat>
          <c:val>
            <c:numRef>
              <c:f>'Department Vs No of Employee'!$B$2:$B$7</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2923-4A6F-BD65-BD22EF6B8E55}"/>
            </c:ext>
          </c:extLst>
        </c:ser>
        <c:dLbls>
          <c:showLegendKey val="0"/>
          <c:showVal val="0"/>
          <c:showCatName val="0"/>
          <c:showSerName val="0"/>
          <c:showPercent val="0"/>
          <c:showBubbleSize val="0"/>
        </c:dLbls>
        <c:gapWidth val="219"/>
        <c:overlap val="-27"/>
        <c:axId val="1616435231"/>
        <c:axId val="1616428511"/>
      </c:barChart>
      <c:catAx>
        <c:axId val="16164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28511"/>
        <c:crosses val="autoZero"/>
        <c:auto val="1"/>
        <c:lblAlgn val="ctr"/>
        <c:lblOffset val="100"/>
        <c:noMultiLvlLbl val="0"/>
      </c:catAx>
      <c:valAx>
        <c:axId val="161642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3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F.xlsx]Gender Vs Employee!PivotTable2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Vs Count of Employee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'Gender Vs Employee'!$B$2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7E2-4EDA-806E-7750657B2AB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7E2-4EDA-806E-7750657B2AB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7E2-4EDA-806E-7750657B2AB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67E2-4EDA-806E-7750657B2A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Vs Employee'!$A$3:$A$7</c:f>
              <c:strCache>
                <c:ptCount val="4"/>
                <c:pt idx="0">
                  <c:v>Female</c:v>
                </c:pt>
                <c:pt idx="1">
                  <c:v>Male</c:v>
                </c:pt>
                <c:pt idx="2">
                  <c:v>Other</c:v>
                </c:pt>
                <c:pt idx="3">
                  <c:v>Unknown</c:v>
                </c:pt>
              </c:strCache>
            </c:strRef>
          </c:cat>
          <c:val>
            <c:numRef>
              <c:f>'Gender Vs Employee'!$B$3:$B$7</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0-6E74-4D0A-B9E8-4E6349592937}"/>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F.xlsx]Rating Vs Dept!PivotTable3</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r>
              <a:rPr lang="en-IN" baseline="0"/>
              <a:t> No.1 Employees Vs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'Rating Vs Dept'!$B$1:$B$2</c:f>
              <c:strCache>
                <c:ptCount val="1"/>
                <c:pt idx="0">
                  <c:v>Finance</c:v>
                </c:pt>
              </c:strCache>
            </c:strRef>
          </c:tx>
          <c:spPr>
            <a:solidFill>
              <a:schemeClr val="accent1"/>
            </a:solidFill>
            <a:ln>
              <a:noFill/>
            </a:ln>
            <a:effectLst/>
            <a:sp3d/>
          </c:spPr>
          <c:invertIfNegative val="0"/>
          <c:cat>
            <c:strRef>
              <c:f>'Rating Vs Dept'!$A$3:$A$4</c:f>
              <c:strCache>
                <c:ptCount val="1"/>
                <c:pt idx="0">
                  <c:v>1</c:v>
                </c:pt>
              </c:strCache>
            </c:strRef>
          </c:cat>
          <c:val>
            <c:numRef>
              <c:f>'Rating Vs Dept'!$B$3:$B$4</c:f>
              <c:numCache>
                <c:formatCode>General</c:formatCode>
                <c:ptCount val="1"/>
                <c:pt idx="0">
                  <c:v>6</c:v>
                </c:pt>
              </c:numCache>
            </c:numRef>
          </c:val>
          <c:extLst>
            <c:ext xmlns:c16="http://schemas.microsoft.com/office/drawing/2014/chart" uri="{C3380CC4-5D6E-409C-BE32-E72D297353CC}">
              <c16:uniqueId val="{00000000-5615-410A-87CF-CE2967E12CFF}"/>
            </c:ext>
          </c:extLst>
        </c:ser>
        <c:ser>
          <c:idx val="1"/>
          <c:order val="1"/>
          <c:tx>
            <c:strRef>
              <c:f>'Rating Vs Dept'!$C$1:$C$2</c:f>
              <c:strCache>
                <c:ptCount val="1"/>
                <c:pt idx="0">
                  <c:v>HR</c:v>
                </c:pt>
              </c:strCache>
            </c:strRef>
          </c:tx>
          <c:spPr>
            <a:solidFill>
              <a:schemeClr val="accent2"/>
            </a:solidFill>
            <a:ln>
              <a:noFill/>
            </a:ln>
            <a:effectLst/>
            <a:sp3d/>
          </c:spPr>
          <c:invertIfNegative val="0"/>
          <c:cat>
            <c:strRef>
              <c:f>'Rating Vs Dept'!$A$3:$A$4</c:f>
              <c:strCache>
                <c:ptCount val="1"/>
                <c:pt idx="0">
                  <c:v>1</c:v>
                </c:pt>
              </c:strCache>
            </c:strRef>
          </c:cat>
          <c:val>
            <c:numRef>
              <c:f>'Rating Vs Dept'!$C$3:$C$4</c:f>
              <c:numCache>
                <c:formatCode>General</c:formatCode>
                <c:ptCount val="1"/>
                <c:pt idx="0">
                  <c:v>4</c:v>
                </c:pt>
              </c:numCache>
            </c:numRef>
          </c:val>
          <c:extLst>
            <c:ext xmlns:c16="http://schemas.microsoft.com/office/drawing/2014/chart" uri="{C3380CC4-5D6E-409C-BE32-E72D297353CC}">
              <c16:uniqueId val="{00000000-C53A-454A-AC4E-D5CC1403CD73}"/>
            </c:ext>
          </c:extLst>
        </c:ser>
        <c:ser>
          <c:idx val="2"/>
          <c:order val="2"/>
          <c:tx>
            <c:strRef>
              <c:f>'Rating Vs Dept'!$D$1:$D$2</c:f>
              <c:strCache>
                <c:ptCount val="1"/>
                <c:pt idx="0">
                  <c:v>IT</c:v>
                </c:pt>
              </c:strCache>
            </c:strRef>
          </c:tx>
          <c:spPr>
            <a:solidFill>
              <a:schemeClr val="accent3"/>
            </a:solidFill>
            <a:ln>
              <a:noFill/>
            </a:ln>
            <a:effectLst/>
            <a:sp3d/>
          </c:spPr>
          <c:invertIfNegative val="0"/>
          <c:cat>
            <c:strRef>
              <c:f>'Rating Vs Dept'!$A$3:$A$4</c:f>
              <c:strCache>
                <c:ptCount val="1"/>
                <c:pt idx="0">
                  <c:v>1</c:v>
                </c:pt>
              </c:strCache>
            </c:strRef>
          </c:cat>
          <c:val>
            <c:numRef>
              <c:f>'Rating Vs Dept'!$D$3:$D$4</c:f>
              <c:numCache>
                <c:formatCode>General</c:formatCode>
                <c:ptCount val="1"/>
                <c:pt idx="0">
                  <c:v>5</c:v>
                </c:pt>
              </c:numCache>
            </c:numRef>
          </c:val>
          <c:extLst>
            <c:ext xmlns:c16="http://schemas.microsoft.com/office/drawing/2014/chart" uri="{C3380CC4-5D6E-409C-BE32-E72D297353CC}">
              <c16:uniqueId val="{00000001-C53A-454A-AC4E-D5CC1403CD73}"/>
            </c:ext>
          </c:extLst>
        </c:ser>
        <c:ser>
          <c:idx val="3"/>
          <c:order val="3"/>
          <c:tx>
            <c:strRef>
              <c:f>'Rating Vs Dept'!$E$1:$E$2</c:f>
              <c:strCache>
                <c:ptCount val="1"/>
                <c:pt idx="0">
                  <c:v>Marketing</c:v>
                </c:pt>
              </c:strCache>
            </c:strRef>
          </c:tx>
          <c:spPr>
            <a:solidFill>
              <a:schemeClr val="accent4"/>
            </a:solidFill>
            <a:ln>
              <a:noFill/>
            </a:ln>
            <a:effectLst/>
            <a:sp3d/>
          </c:spPr>
          <c:invertIfNegative val="0"/>
          <c:cat>
            <c:strRef>
              <c:f>'Rating Vs Dept'!$A$3:$A$4</c:f>
              <c:strCache>
                <c:ptCount val="1"/>
                <c:pt idx="0">
                  <c:v>1</c:v>
                </c:pt>
              </c:strCache>
            </c:strRef>
          </c:cat>
          <c:val>
            <c:numRef>
              <c:f>'Rating Vs Dept'!$E$3:$E$4</c:f>
              <c:numCache>
                <c:formatCode>General</c:formatCode>
                <c:ptCount val="1"/>
                <c:pt idx="0">
                  <c:v>9</c:v>
                </c:pt>
              </c:numCache>
            </c:numRef>
          </c:val>
          <c:extLst>
            <c:ext xmlns:c16="http://schemas.microsoft.com/office/drawing/2014/chart" uri="{C3380CC4-5D6E-409C-BE32-E72D297353CC}">
              <c16:uniqueId val="{00000004-C53A-454A-AC4E-D5CC1403CD73}"/>
            </c:ext>
          </c:extLst>
        </c:ser>
        <c:ser>
          <c:idx val="4"/>
          <c:order val="4"/>
          <c:tx>
            <c:strRef>
              <c:f>'Rating Vs Dept'!$F$1:$F$2</c:f>
              <c:strCache>
                <c:ptCount val="1"/>
                <c:pt idx="0">
                  <c:v>Sales</c:v>
                </c:pt>
              </c:strCache>
            </c:strRef>
          </c:tx>
          <c:spPr>
            <a:solidFill>
              <a:schemeClr val="accent5"/>
            </a:solidFill>
            <a:ln>
              <a:noFill/>
            </a:ln>
            <a:effectLst/>
            <a:sp3d/>
          </c:spPr>
          <c:invertIfNegative val="0"/>
          <c:cat>
            <c:strRef>
              <c:f>'Rating Vs Dept'!$A$3:$A$4</c:f>
              <c:strCache>
                <c:ptCount val="1"/>
                <c:pt idx="0">
                  <c:v>1</c:v>
                </c:pt>
              </c:strCache>
            </c:strRef>
          </c:cat>
          <c:val>
            <c:numRef>
              <c:f>'Rating Vs Dept'!$F$3:$F$4</c:f>
              <c:numCache>
                <c:formatCode>General</c:formatCode>
                <c:ptCount val="1"/>
                <c:pt idx="0">
                  <c:v>6</c:v>
                </c:pt>
              </c:numCache>
            </c:numRef>
          </c:val>
          <c:extLst>
            <c:ext xmlns:c16="http://schemas.microsoft.com/office/drawing/2014/chart" uri="{C3380CC4-5D6E-409C-BE32-E72D297353CC}">
              <c16:uniqueId val="{00000005-C53A-454A-AC4E-D5CC1403CD73}"/>
            </c:ext>
          </c:extLst>
        </c:ser>
        <c:dLbls>
          <c:showLegendKey val="0"/>
          <c:showVal val="0"/>
          <c:showCatName val="0"/>
          <c:showSerName val="0"/>
          <c:showPercent val="0"/>
          <c:showBubbleSize val="0"/>
        </c:dLbls>
        <c:gapWidth val="150"/>
        <c:shape val="box"/>
        <c:axId val="55709280"/>
        <c:axId val="55708800"/>
        <c:axId val="0"/>
      </c:bar3DChart>
      <c:catAx>
        <c:axId val="5570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8800"/>
        <c:crosses val="autoZero"/>
        <c:auto val="1"/>
        <c:lblAlgn val="ctr"/>
        <c:lblOffset val="100"/>
        <c:noMultiLvlLbl val="0"/>
      </c:catAx>
      <c:valAx>
        <c:axId val="5570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F.xlsx]Country Vs Dept Vs Salary!PivotTable2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Dept Vs Salary'!$B$1:$B$2</c:f>
              <c:strCache>
                <c:ptCount val="1"/>
                <c:pt idx="0">
                  <c:v>Finance</c:v>
                </c:pt>
              </c:strCache>
            </c:strRef>
          </c:tx>
          <c:spPr>
            <a:solidFill>
              <a:schemeClr val="accent1"/>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Salary'!$B$3:$B$9</c:f>
              <c:numCache>
                <c:formatCode>General</c:formatCode>
                <c:ptCount val="6"/>
                <c:pt idx="0">
                  <c:v>137442</c:v>
                </c:pt>
                <c:pt idx="1">
                  <c:v>63184</c:v>
                </c:pt>
                <c:pt idx="2">
                  <c:v>287562</c:v>
                </c:pt>
                <c:pt idx="3">
                  <c:v>278949</c:v>
                </c:pt>
                <c:pt idx="4">
                  <c:v>430591</c:v>
                </c:pt>
                <c:pt idx="5">
                  <c:v>246925</c:v>
                </c:pt>
              </c:numCache>
            </c:numRef>
          </c:val>
          <c:extLst>
            <c:ext xmlns:c16="http://schemas.microsoft.com/office/drawing/2014/chart" uri="{C3380CC4-5D6E-409C-BE32-E72D297353CC}">
              <c16:uniqueId val="{00000000-1A66-4386-BA84-E2719BF8D74A}"/>
            </c:ext>
          </c:extLst>
        </c:ser>
        <c:ser>
          <c:idx val="1"/>
          <c:order val="1"/>
          <c:tx>
            <c:strRef>
              <c:f>'Country Vs Dept Vs Salary'!$C$1:$C$2</c:f>
              <c:strCache>
                <c:ptCount val="1"/>
                <c:pt idx="0">
                  <c:v>HR</c:v>
                </c:pt>
              </c:strCache>
            </c:strRef>
          </c:tx>
          <c:spPr>
            <a:solidFill>
              <a:schemeClr val="accent2"/>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Salary'!$C$3:$C$9</c:f>
              <c:numCache>
                <c:formatCode>General</c:formatCode>
                <c:ptCount val="6"/>
                <c:pt idx="0">
                  <c:v>69420</c:v>
                </c:pt>
                <c:pt idx="1">
                  <c:v>635075</c:v>
                </c:pt>
                <c:pt idx="2">
                  <c:v>58245</c:v>
                </c:pt>
                <c:pt idx="3">
                  <c:v>277315</c:v>
                </c:pt>
                <c:pt idx="4">
                  <c:v>444921</c:v>
                </c:pt>
                <c:pt idx="5">
                  <c:v>141500</c:v>
                </c:pt>
              </c:numCache>
            </c:numRef>
          </c:val>
          <c:extLst>
            <c:ext xmlns:c16="http://schemas.microsoft.com/office/drawing/2014/chart" uri="{C3380CC4-5D6E-409C-BE32-E72D297353CC}">
              <c16:uniqueId val="{00000000-FE16-44AA-BD37-6CC9F34E7644}"/>
            </c:ext>
          </c:extLst>
        </c:ser>
        <c:ser>
          <c:idx val="2"/>
          <c:order val="2"/>
          <c:tx>
            <c:strRef>
              <c:f>'Country Vs Dept Vs Salary'!$D$1:$D$2</c:f>
              <c:strCache>
                <c:ptCount val="1"/>
                <c:pt idx="0">
                  <c:v>IT</c:v>
                </c:pt>
              </c:strCache>
            </c:strRef>
          </c:tx>
          <c:spPr>
            <a:solidFill>
              <a:schemeClr val="accent3"/>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Salary'!$D$3:$D$9</c:f>
              <c:numCache>
                <c:formatCode>General</c:formatCode>
                <c:ptCount val="6"/>
                <c:pt idx="0">
                  <c:v>70470</c:v>
                </c:pt>
                <c:pt idx="1">
                  <c:v>291041</c:v>
                </c:pt>
                <c:pt idx="2">
                  <c:v>416649</c:v>
                </c:pt>
                <c:pt idx="3">
                  <c:v>220971</c:v>
                </c:pt>
                <c:pt idx="4">
                  <c:v>325729</c:v>
                </c:pt>
                <c:pt idx="5">
                  <c:v>329201</c:v>
                </c:pt>
              </c:numCache>
            </c:numRef>
          </c:val>
          <c:extLst>
            <c:ext xmlns:c16="http://schemas.microsoft.com/office/drawing/2014/chart" uri="{C3380CC4-5D6E-409C-BE32-E72D297353CC}">
              <c16:uniqueId val="{00000001-FE16-44AA-BD37-6CC9F34E7644}"/>
            </c:ext>
          </c:extLst>
        </c:ser>
        <c:ser>
          <c:idx val="3"/>
          <c:order val="3"/>
          <c:tx>
            <c:strRef>
              <c:f>'Country Vs Dept Vs Salary'!$E$1:$E$2</c:f>
              <c:strCache>
                <c:ptCount val="1"/>
                <c:pt idx="0">
                  <c:v>Marketing</c:v>
                </c:pt>
              </c:strCache>
            </c:strRef>
          </c:tx>
          <c:spPr>
            <a:solidFill>
              <a:schemeClr val="accent4"/>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Salary'!$E$3:$E$9</c:f>
              <c:numCache>
                <c:formatCode>General</c:formatCode>
                <c:ptCount val="6"/>
                <c:pt idx="0">
                  <c:v>538488</c:v>
                </c:pt>
                <c:pt idx="1">
                  <c:v>334048</c:v>
                </c:pt>
                <c:pt idx="2">
                  <c:v>643914</c:v>
                </c:pt>
                <c:pt idx="3">
                  <c:v>684771</c:v>
                </c:pt>
                <c:pt idx="4">
                  <c:v>725617</c:v>
                </c:pt>
                <c:pt idx="5">
                  <c:v>525604</c:v>
                </c:pt>
              </c:numCache>
            </c:numRef>
          </c:val>
          <c:extLst>
            <c:ext xmlns:c16="http://schemas.microsoft.com/office/drawing/2014/chart" uri="{C3380CC4-5D6E-409C-BE32-E72D297353CC}">
              <c16:uniqueId val="{00000002-FE16-44AA-BD37-6CC9F34E7644}"/>
            </c:ext>
          </c:extLst>
        </c:ser>
        <c:ser>
          <c:idx val="4"/>
          <c:order val="4"/>
          <c:tx>
            <c:strRef>
              <c:f>'Country Vs Dept Vs Salary'!$F$1:$F$2</c:f>
              <c:strCache>
                <c:ptCount val="1"/>
                <c:pt idx="0">
                  <c:v>Sales</c:v>
                </c:pt>
              </c:strCache>
            </c:strRef>
          </c:tx>
          <c:spPr>
            <a:solidFill>
              <a:schemeClr val="accent5"/>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Salary'!$F$3:$F$9</c:f>
              <c:numCache>
                <c:formatCode>General</c:formatCode>
                <c:ptCount val="6"/>
                <c:pt idx="0">
                  <c:v>354767</c:v>
                </c:pt>
                <c:pt idx="1">
                  <c:v>192674</c:v>
                </c:pt>
                <c:pt idx="2">
                  <c:v>466701</c:v>
                </c:pt>
                <c:pt idx="3">
                  <c:v>91620</c:v>
                </c:pt>
                <c:pt idx="4">
                  <c:v>260281</c:v>
                </c:pt>
                <c:pt idx="5">
                  <c:v>398465</c:v>
                </c:pt>
              </c:numCache>
            </c:numRef>
          </c:val>
          <c:extLst>
            <c:ext xmlns:c16="http://schemas.microsoft.com/office/drawing/2014/chart" uri="{C3380CC4-5D6E-409C-BE32-E72D297353CC}">
              <c16:uniqueId val="{00000003-FE16-44AA-BD37-6CC9F34E7644}"/>
            </c:ext>
          </c:extLst>
        </c:ser>
        <c:dLbls>
          <c:showLegendKey val="0"/>
          <c:showVal val="0"/>
          <c:showCatName val="0"/>
          <c:showSerName val="0"/>
          <c:showPercent val="0"/>
          <c:showBubbleSize val="0"/>
        </c:dLbls>
        <c:gapWidth val="219"/>
        <c:overlap val="-27"/>
        <c:axId val="1405430079"/>
        <c:axId val="67877008"/>
      </c:barChart>
      <c:catAx>
        <c:axId val="140543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7008"/>
        <c:crosses val="autoZero"/>
        <c:auto val="1"/>
        <c:lblAlgn val="ctr"/>
        <c:lblOffset val="100"/>
        <c:noMultiLvlLbl val="0"/>
      </c:catAx>
      <c:valAx>
        <c:axId val="6787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3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F.xlsx]Year of Joining Vs Rating!PivotTable1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of Joining Vs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of Joining Vs Rating'!$B$3:$B$4</c:f>
              <c:strCache>
                <c:ptCount val="1"/>
                <c:pt idx="0">
                  <c:v>1</c:v>
                </c:pt>
              </c:strCache>
            </c:strRef>
          </c:tx>
          <c:spPr>
            <a:solidFill>
              <a:schemeClr val="accent1"/>
            </a:solidFill>
            <a:ln>
              <a:noFill/>
            </a:ln>
            <a:effectLst/>
          </c:spPr>
          <c:invertIfNegative val="0"/>
          <c:cat>
            <c:strRef>
              <c:f>'Year of Joining Vs Rating'!$A$5:$A$8</c:f>
              <c:strCache>
                <c:ptCount val="3"/>
                <c:pt idx="0">
                  <c:v>2015</c:v>
                </c:pt>
                <c:pt idx="1">
                  <c:v>2016</c:v>
                </c:pt>
                <c:pt idx="2">
                  <c:v>2017</c:v>
                </c:pt>
              </c:strCache>
            </c:strRef>
          </c:cat>
          <c:val>
            <c:numRef>
              <c:f>'Year of Joining Vs Rating'!$B$5:$B$8</c:f>
              <c:numCache>
                <c:formatCode>General</c:formatCode>
                <c:ptCount val="3"/>
                <c:pt idx="0">
                  <c:v>9</c:v>
                </c:pt>
                <c:pt idx="1">
                  <c:v>11</c:v>
                </c:pt>
                <c:pt idx="2">
                  <c:v>10</c:v>
                </c:pt>
              </c:numCache>
            </c:numRef>
          </c:val>
          <c:extLst>
            <c:ext xmlns:c16="http://schemas.microsoft.com/office/drawing/2014/chart" uri="{C3380CC4-5D6E-409C-BE32-E72D297353CC}">
              <c16:uniqueId val="{00000000-FE54-49E1-ABFC-90BEC31D62A2}"/>
            </c:ext>
          </c:extLst>
        </c:ser>
        <c:ser>
          <c:idx val="1"/>
          <c:order val="1"/>
          <c:tx>
            <c:strRef>
              <c:f>'Year of Joining Vs Rating'!$C$3:$C$4</c:f>
              <c:strCache>
                <c:ptCount val="1"/>
                <c:pt idx="0">
                  <c:v>2</c:v>
                </c:pt>
              </c:strCache>
            </c:strRef>
          </c:tx>
          <c:spPr>
            <a:solidFill>
              <a:schemeClr val="accent2"/>
            </a:solidFill>
            <a:ln>
              <a:noFill/>
            </a:ln>
            <a:effectLst/>
          </c:spPr>
          <c:invertIfNegative val="0"/>
          <c:cat>
            <c:strRef>
              <c:f>'Year of Joining Vs Rating'!$A$5:$A$8</c:f>
              <c:strCache>
                <c:ptCount val="3"/>
                <c:pt idx="0">
                  <c:v>2015</c:v>
                </c:pt>
                <c:pt idx="1">
                  <c:v>2016</c:v>
                </c:pt>
                <c:pt idx="2">
                  <c:v>2017</c:v>
                </c:pt>
              </c:strCache>
            </c:strRef>
          </c:cat>
          <c:val>
            <c:numRef>
              <c:f>'Year of Joining Vs Rating'!$C$5:$C$8</c:f>
              <c:numCache>
                <c:formatCode>General</c:formatCode>
                <c:ptCount val="3"/>
                <c:pt idx="0">
                  <c:v>11</c:v>
                </c:pt>
                <c:pt idx="1">
                  <c:v>6</c:v>
                </c:pt>
                <c:pt idx="2">
                  <c:v>6</c:v>
                </c:pt>
              </c:numCache>
            </c:numRef>
          </c:val>
          <c:extLst>
            <c:ext xmlns:c16="http://schemas.microsoft.com/office/drawing/2014/chart" uri="{C3380CC4-5D6E-409C-BE32-E72D297353CC}">
              <c16:uniqueId val="{00000001-FE54-49E1-ABFC-90BEC31D62A2}"/>
            </c:ext>
          </c:extLst>
        </c:ser>
        <c:ser>
          <c:idx val="2"/>
          <c:order val="2"/>
          <c:tx>
            <c:strRef>
              <c:f>'Year of Joining Vs Rating'!$D$3:$D$4</c:f>
              <c:strCache>
                <c:ptCount val="1"/>
                <c:pt idx="0">
                  <c:v>3</c:v>
                </c:pt>
              </c:strCache>
            </c:strRef>
          </c:tx>
          <c:spPr>
            <a:solidFill>
              <a:schemeClr val="accent3"/>
            </a:solidFill>
            <a:ln>
              <a:noFill/>
            </a:ln>
            <a:effectLst/>
          </c:spPr>
          <c:invertIfNegative val="0"/>
          <c:cat>
            <c:strRef>
              <c:f>'Year of Joining Vs Rating'!$A$5:$A$8</c:f>
              <c:strCache>
                <c:ptCount val="3"/>
                <c:pt idx="0">
                  <c:v>2015</c:v>
                </c:pt>
                <c:pt idx="1">
                  <c:v>2016</c:v>
                </c:pt>
                <c:pt idx="2">
                  <c:v>2017</c:v>
                </c:pt>
              </c:strCache>
            </c:strRef>
          </c:cat>
          <c:val>
            <c:numRef>
              <c:f>'Year of Joining Vs Rating'!$D$5:$D$8</c:f>
              <c:numCache>
                <c:formatCode>General</c:formatCode>
                <c:ptCount val="3"/>
                <c:pt idx="0">
                  <c:v>22</c:v>
                </c:pt>
                <c:pt idx="1">
                  <c:v>18</c:v>
                </c:pt>
                <c:pt idx="2">
                  <c:v>15</c:v>
                </c:pt>
              </c:numCache>
            </c:numRef>
          </c:val>
          <c:extLst>
            <c:ext xmlns:c16="http://schemas.microsoft.com/office/drawing/2014/chart" uri="{C3380CC4-5D6E-409C-BE32-E72D297353CC}">
              <c16:uniqueId val="{00000002-FE54-49E1-ABFC-90BEC31D62A2}"/>
            </c:ext>
          </c:extLst>
        </c:ser>
        <c:ser>
          <c:idx val="3"/>
          <c:order val="3"/>
          <c:tx>
            <c:strRef>
              <c:f>'Year of Joining Vs Rating'!$E$3:$E$4</c:f>
              <c:strCache>
                <c:ptCount val="1"/>
                <c:pt idx="0">
                  <c:v>4</c:v>
                </c:pt>
              </c:strCache>
            </c:strRef>
          </c:tx>
          <c:spPr>
            <a:solidFill>
              <a:schemeClr val="accent4"/>
            </a:solidFill>
            <a:ln>
              <a:noFill/>
            </a:ln>
            <a:effectLst/>
          </c:spPr>
          <c:invertIfNegative val="0"/>
          <c:cat>
            <c:strRef>
              <c:f>'Year of Joining Vs Rating'!$A$5:$A$8</c:f>
              <c:strCache>
                <c:ptCount val="3"/>
                <c:pt idx="0">
                  <c:v>2015</c:v>
                </c:pt>
                <c:pt idx="1">
                  <c:v>2016</c:v>
                </c:pt>
                <c:pt idx="2">
                  <c:v>2017</c:v>
                </c:pt>
              </c:strCache>
            </c:strRef>
          </c:cat>
          <c:val>
            <c:numRef>
              <c:f>'Year of Joining Vs Rating'!$E$5:$E$8</c:f>
              <c:numCache>
                <c:formatCode>General</c:formatCode>
                <c:ptCount val="3"/>
                <c:pt idx="0">
                  <c:v>5</c:v>
                </c:pt>
                <c:pt idx="1">
                  <c:v>7</c:v>
                </c:pt>
                <c:pt idx="2">
                  <c:v>5</c:v>
                </c:pt>
              </c:numCache>
            </c:numRef>
          </c:val>
          <c:extLst>
            <c:ext xmlns:c16="http://schemas.microsoft.com/office/drawing/2014/chart" uri="{C3380CC4-5D6E-409C-BE32-E72D297353CC}">
              <c16:uniqueId val="{00000003-FE54-49E1-ABFC-90BEC31D62A2}"/>
            </c:ext>
          </c:extLst>
        </c:ser>
        <c:ser>
          <c:idx val="4"/>
          <c:order val="4"/>
          <c:tx>
            <c:strRef>
              <c:f>'Year of Joining Vs Rating'!$F$3:$F$4</c:f>
              <c:strCache>
                <c:ptCount val="1"/>
                <c:pt idx="0">
                  <c:v>5</c:v>
                </c:pt>
              </c:strCache>
            </c:strRef>
          </c:tx>
          <c:spPr>
            <a:solidFill>
              <a:schemeClr val="accent5"/>
            </a:solidFill>
            <a:ln>
              <a:noFill/>
            </a:ln>
            <a:effectLst/>
          </c:spPr>
          <c:invertIfNegative val="0"/>
          <c:cat>
            <c:strRef>
              <c:f>'Year of Joining Vs Rating'!$A$5:$A$8</c:f>
              <c:strCache>
                <c:ptCount val="3"/>
                <c:pt idx="0">
                  <c:v>2015</c:v>
                </c:pt>
                <c:pt idx="1">
                  <c:v>2016</c:v>
                </c:pt>
                <c:pt idx="2">
                  <c:v>2017</c:v>
                </c:pt>
              </c:strCache>
            </c:strRef>
          </c:cat>
          <c:val>
            <c:numRef>
              <c:f>'Year of Joining Vs Rating'!$F$5:$F$8</c:f>
              <c:numCache>
                <c:formatCode>General</c:formatCode>
                <c:ptCount val="3"/>
                <c:pt idx="0">
                  <c:v>10</c:v>
                </c:pt>
                <c:pt idx="1">
                  <c:v>8</c:v>
                </c:pt>
                <c:pt idx="2">
                  <c:v>7</c:v>
                </c:pt>
              </c:numCache>
            </c:numRef>
          </c:val>
          <c:extLst>
            <c:ext xmlns:c16="http://schemas.microsoft.com/office/drawing/2014/chart" uri="{C3380CC4-5D6E-409C-BE32-E72D297353CC}">
              <c16:uniqueId val="{00000004-FE54-49E1-ABFC-90BEC31D62A2}"/>
            </c:ext>
          </c:extLst>
        </c:ser>
        <c:dLbls>
          <c:showLegendKey val="0"/>
          <c:showVal val="0"/>
          <c:showCatName val="0"/>
          <c:showSerName val="0"/>
          <c:showPercent val="0"/>
          <c:showBubbleSize val="0"/>
        </c:dLbls>
        <c:gapWidth val="219"/>
        <c:overlap val="-27"/>
        <c:axId val="1402223791"/>
        <c:axId val="1402224271"/>
      </c:barChart>
      <c:catAx>
        <c:axId val="140222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4271"/>
        <c:crosses val="autoZero"/>
        <c:auto val="1"/>
        <c:lblAlgn val="ctr"/>
        <c:lblOffset val="100"/>
        <c:noMultiLvlLbl val="0"/>
      </c:catAx>
      <c:valAx>
        <c:axId val="140222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F.xlsx]Salary Range Vs Dept!PivotTable3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 Range Vs</a:t>
            </a:r>
            <a:r>
              <a:rPr lang="en-IN" baseline="0"/>
              <a:t>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'Salary Range Vs Dept'!$B$1:$B$2</c:f>
              <c:strCache>
                <c:ptCount val="1"/>
                <c:pt idx="0">
                  <c:v>Finance</c:v>
                </c:pt>
              </c:strCache>
            </c:strRef>
          </c:tx>
          <c:spPr>
            <a:solidFill>
              <a:schemeClr val="accent1"/>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Dept'!$B$3:$B$6</c:f>
              <c:numCache>
                <c:formatCode>General</c:formatCode>
                <c:ptCount val="3"/>
                <c:pt idx="0">
                  <c:v>8</c:v>
                </c:pt>
                <c:pt idx="1">
                  <c:v>6</c:v>
                </c:pt>
                <c:pt idx="2">
                  <c:v>8</c:v>
                </c:pt>
              </c:numCache>
            </c:numRef>
          </c:val>
          <c:extLst>
            <c:ext xmlns:c16="http://schemas.microsoft.com/office/drawing/2014/chart" uri="{C3380CC4-5D6E-409C-BE32-E72D297353CC}">
              <c16:uniqueId val="{00000000-CC09-4016-9932-E9BD15EA2820}"/>
            </c:ext>
          </c:extLst>
        </c:ser>
        <c:ser>
          <c:idx val="1"/>
          <c:order val="1"/>
          <c:tx>
            <c:strRef>
              <c:f>'Salary Range Vs Dept'!$C$1:$C$2</c:f>
              <c:strCache>
                <c:ptCount val="1"/>
                <c:pt idx="0">
                  <c:v>HR</c:v>
                </c:pt>
              </c:strCache>
            </c:strRef>
          </c:tx>
          <c:spPr>
            <a:solidFill>
              <a:schemeClr val="accent2"/>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Dept'!$C$3:$C$6</c:f>
              <c:numCache>
                <c:formatCode>General</c:formatCode>
                <c:ptCount val="3"/>
                <c:pt idx="0">
                  <c:v>9</c:v>
                </c:pt>
                <c:pt idx="1">
                  <c:v>6</c:v>
                </c:pt>
                <c:pt idx="2">
                  <c:v>9</c:v>
                </c:pt>
              </c:numCache>
            </c:numRef>
          </c:val>
          <c:extLst>
            <c:ext xmlns:c16="http://schemas.microsoft.com/office/drawing/2014/chart" uri="{C3380CC4-5D6E-409C-BE32-E72D297353CC}">
              <c16:uniqueId val="{00000000-F096-4C5C-93F0-19F876D3DA67}"/>
            </c:ext>
          </c:extLst>
        </c:ser>
        <c:ser>
          <c:idx val="2"/>
          <c:order val="2"/>
          <c:tx>
            <c:strRef>
              <c:f>'Salary Range Vs Dept'!$D$1:$D$2</c:f>
              <c:strCache>
                <c:ptCount val="1"/>
                <c:pt idx="0">
                  <c:v>IT</c:v>
                </c:pt>
              </c:strCache>
            </c:strRef>
          </c:tx>
          <c:spPr>
            <a:solidFill>
              <a:schemeClr val="accent3"/>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Dept'!$D$3:$D$6</c:f>
              <c:numCache>
                <c:formatCode>General</c:formatCode>
                <c:ptCount val="3"/>
                <c:pt idx="0">
                  <c:v>10</c:v>
                </c:pt>
                <c:pt idx="1">
                  <c:v>9</c:v>
                </c:pt>
                <c:pt idx="2">
                  <c:v>6</c:v>
                </c:pt>
              </c:numCache>
            </c:numRef>
          </c:val>
          <c:extLst>
            <c:ext xmlns:c16="http://schemas.microsoft.com/office/drawing/2014/chart" uri="{C3380CC4-5D6E-409C-BE32-E72D297353CC}">
              <c16:uniqueId val="{00000001-F096-4C5C-93F0-19F876D3DA67}"/>
            </c:ext>
          </c:extLst>
        </c:ser>
        <c:ser>
          <c:idx val="3"/>
          <c:order val="3"/>
          <c:tx>
            <c:strRef>
              <c:f>'Salary Range Vs Dept'!$E$1:$E$2</c:f>
              <c:strCache>
                <c:ptCount val="1"/>
                <c:pt idx="0">
                  <c:v>Marketing</c:v>
                </c:pt>
              </c:strCache>
            </c:strRef>
          </c:tx>
          <c:spPr>
            <a:solidFill>
              <a:schemeClr val="accent4"/>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Dept'!$E$3:$E$6</c:f>
              <c:numCache>
                <c:formatCode>General</c:formatCode>
                <c:ptCount val="3"/>
                <c:pt idx="0">
                  <c:v>18</c:v>
                </c:pt>
                <c:pt idx="1">
                  <c:v>13</c:v>
                </c:pt>
                <c:pt idx="2">
                  <c:v>22</c:v>
                </c:pt>
              </c:numCache>
            </c:numRef>
          </c:val>
          <c:extLst>
            <c:ext xmlns:c16="http://schemas.microsoft.com/office/drawing/2014/chart" uri="{C3380CC4-5D6E-409C-BE32-E72D297353CC}">
              <c16:uniqueId val="{00000002-F096-4C5C-93F0-19F876D3DA67}"/>
            </c:ext>
          </c:extLst>
        </c:ser>
        <c:ser>
          <c:idx val="4"/>
          <c:order val="4"/>
          <c:tx>
            <c:strRef>
              <c:f>'Salary Range Vs Dept'!$F$1:$F$2</c:f>
              <c:strCache>
                <c:ptCount val="1"/>
                <c:pt idx="0">
                  <c:v>Sales</c:v>
                </c:pt>
              </c:strCache>
            </c:strRef>
          </c:tx>
          <c:spPr>
            <a:solidFill>
              <a:schemeClr val="accent5"/>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Dept'!$F$3:$F$6</c:f>
              <c:numCache>
                <c:formatCode>General</c:formatCode>
                <c:ptCount val="3"/>
                <c:pt idx="0">
                  <c:v>10</c:v>
                </c:pt>
                <c:pt idx="1">
                  <c:v>7</c:v>
                </c:pt>
                <c:pt idx="2">
                  <c:v>9</c:v>
                </c:pt>
              </c:numCache>
            </c:numRef>
          </c:val>
          <c:extLst>
            <c:ext xmlns:c16="http://schemas.microsoft.com/office/drawing/2014/chart" uri="{C3380CC4-5D6E-409C-BE32-E72D297353CC}">
              <c16:uniqueId val="{00000003-F096-4C5C-93F0-19F876D3DA67}"/>
            </c:ext>
          </c:extLst>
        </c:ser>
        <c:dLbls>
          <c:showLegendKey val="0"/>
          <c:showVal val="0"/>
          <c:showCatName val="0"/>
          <c:showSerName val="0"/>
          <c:showPercent val="0"/>
          <c:showBubbleSize val="0"/>
        </c:dLbls>
        <c:gapWidth val="150"/>
        <c:shape val="box"/>
        <c:axId val="67882768"/>
        <c:axId val="67881808"/>
        <c:axId val="0"/>
      </c:bar3DChart>
      <c:catAx>
        <c:axId val="6788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1808"/>
        <c:crosses val="autoZero"/>
        <c:auto val="1"/>
        <c:lblAlgn val="ctr"/>
        <c:lblOffset val="100"/>
        <c:noMultiLvlLbl val="0"/>
      </c:catAx>
      <c:valAx>
        <c:axId val="678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3800675771659223E-2"/>
          <c:y val="4.1558441558441558E-2"/>
          <c:w val="0.94506969237540961"/>
          <c:h val="0.64171933053822816"/>
        </c:manualLayout>
      </c:layout>
      <c:lineChart>
        <c:grouping val="standard"/>
        <c:varyColors val="0"/>
        <c:ser>
          <c:idx val="0"/>
          <c:order val="0"/>
          <c:tx>
            <c:strRef>
              <c:f>Trendline!$B$1</c:f>
              <c:strCache>
                <c:ptCount val="1"/>
                <c:pt idx="0">
                  <c:v>Performance Rating</c:v>
                </c:pt>
              </c:strCache>
            </c:strRef>
          </c:tx>
          <c:spPr>
            <a:ln w="28575" cap="rnd">
              <a:solidFill>
                <a:schemeClr val="accent1"/>
              </a:solidFill>
              <a:round/>
            </a:ln>
            <a:effectLst/>
          </c:spPr>
          <c:marker>
            <c:symbol val="none"/>
          </c:marker>
          <c:val>
            <c:numRef>
              <c:f>Trendline!$B$2:$B$188</c:f>
              <c:numCache>
                <c:formatCode>0</c:formatCode>
                <c:ptCount val="187"/>
                <c:pt idx="0">
                  <c:v>1</c:v>
                </c:pt>
                <c:pt idx="1">
                  <c:v>2</c:v>
                </c:pt>
                <c:pt idx="2">
                  <c:v>1</c:v>
                </c:pt>
                <c:pt idx="3">
                  <c:v>1</c:v>
                </c:pt>
                <c:pt idx="4">
                  <c:v>2</c:v>
                </c:pt>
                <c:pt idx="5">
                  <c:v>3</c:v>
                </c:pt>
                <c:pt idx="6">
                  <c:v>2</c:v>
                </c:pt>
                <c:pt idx="7">
                  <c:v>3</c:v>
                </c:pt>
                <c:pt idx="8">
                  <c:v>3</c:v>
                </c:pt>
                <c:pt idx="9">
                  <c:v>1</c:v>
                </c:pt>
                <c:pt idx="10">
                  <c:v>5</c:v>
                </c:pt>
                <c:pt idx="11">
                  <c:v>5</c:v>
                </c:pt>
                <c:pt idx="12">
                  <c:v>4</c:v>
                </c:pt>
                <c:pt idx="13">
                  <c:v>2</c:v>
                </c:pt>
                <c:pt idx="14">
                  <c:v>3</c:v>
                </c:pt>
                <c:pt idx="15">
                  <c:v>3</c:v>
                </c:pt>
                <c:pt idx="16">
                  <c:v>1</c:v>
                </c:pt>
                <c:pt idx="17">
                  <c:v>3</c:v>
                </c:pt>
                <c:pt idx="18">
                  <c:v>5</c:v>
                </c:pt>
                <c:pt idx="19">
                  <c:v>2</c:v>
                </c:pt>
                <c:pt idx="20">
                  <c:v>4</c:v>
                </c:pt>
                <c:pt idx="21">
                  <c:v>5</c:v>
                </c:pt>
                <c:pt idx="22">
                  <c:v>3</c:v>
                </c:pt>
                <c:pt idx="23">
                  <c:v>1</c:v>
                </c:pt>
                <c:pt idx="24">
                  <c:v>3</c:v>
                </c:pt>
                <c:pt idx="25">
                  <c:v>2</c:v>
                </c:pt>
                <c:pt idx="26">
                  <c:v>3</c:v>
                </c:pt>
                <c:pt idx="27">
                  <c:v>2</c:v>
                </c:pt>
                <c:pt idx="28">
                  <c:v>5</c:v>
                </c:pt>
                <c:pt idx="29">
                  <c:v>4</c:v>
                </c:pt>
                <c:pt idx="30">
                  <c:v>3</c:v>
                </c:pt>
                <c:pt idx="31">
                  <c:v>3</c:v>
                </c:pt>
                <c:pt idx="32">
                  <c:v>3</c:v>
                </c:pt>
                <c:pt idx="33">
                  <c:v>3</c:v>
                </c:pt>
                <c:pt idx="34">
                  <c:v>4</c:v>
                </c:pt>
                <c:pt idx="35">
                  <c:v>3</c:v>
                </c:pt>
                <c:pt idx="36">
                  <c:v>3</c:v>
                </c:pt>
                <c:pt idx="37">
                  <c:v>5</c:v>
                </c:pt>
                <c:pt idx="38">
                  <c:v>3</c:v>
                </c:pt>
                <c:pt idx="39">
                  <c:v>3</c:v>
                </c:pt>
                <c:pt idx="40">
                  <c:v>3</c:v>
                </c:pt>
                <c:pt idx="41">
                  <c:v>1</c:v>
                </c:pt>
                <c:pt idx="42">
                  <c:v>3</c:v>
                </c:pt>
                <c:pt idx="43">
                  <c:v>1</c:v>
                </c:pt>
                <c:pt idx="44">
                  <c:v>3</c:v>
                </c:pt>
                <c:pt idx="45">
                  <c:v>3</c:v>
                </c:pt>
                <c:pt idx="46">
                  <c:v>4</c:v>
                </c:pt>
                <c:pt idx="47">
                  <c:v>2</c:v>
                </c:pt>
                <c:pt idx="48">
                  <c:v>5</c:v>
                </c:pt>
                <c:pt idx="49">
                  <c:v>5</c:v>
                </c:pt>
                <c:pt idx="50">
                  <c:v>5</c:v>
                </c:pt>
                <c:pt idx="51">
                  <c:v>1</c:v>
                </c:pt>
                <c:pt idx="52">
                  <c:v>3</c:v>
                </c:pt>
                <c:pt idx="53">
                  <c:v>5</c:v>
                </c:pt>
                <c:pt idx="54">
                  <c:v>5</c:v>
                </c:pt>
                <c:pt idx="55">
                  <c:v>1</c:v>
                </c:pt>
                <c:pt idx="56">
                  <c:v>3</c:v>
                </c:pt>
                <c:pt idx="57">
                  <c:v>5</c:v>
                </c:pt>
                <c:pt idx="58">
                  <c:v>1</c:v>
                </c:pt>
                <c:pt idx="59">
                  <c:v>1.5</c:v>
                </c:pt>
                <c:pt idx="60">
                  <c:v>2</c:v>
                </c:pt>
                <c:pt idx="61">
                  <c:v>5</c:v>
                </c:pt>
                <c:pt idx="62">
                  <c:v>2</c:v>
                </c:pt>
                <c:pt idx="63">
                  <c:v>1</c:v>
                </c:pt>
                <c:pt idx="64">
                  <c:v>4</c:v>
                </c:pt>
                <c:pt idx="65">
                  <c:v>3</c:v>
                </c:pt>
                <c:pt idx="66">
                  <c:v>3</c:v>
                </c:pt>
                <c:pt idx="67">
                  <c:v>2</c:v>
                </c:pt>
                <c:pt idx="68">
                  <c:v>1</c:v>
                </c:pt>
                <c:pt idx="69">
                  <c:v>5</c:v>
                </c:pt>
                <c:pt idx="70">
                  <c:v>3</c:v>
                </c:pt>
                <c:pt idx="71">
                  <c:v>3</c:v>
                </c:pt>
                <c:pt idx="72">
                  <c:v>4</c:v>
                </c:pt>
                <c:pt idx="73">
                  <c:v>3</c:v>
                </c:pt>
                <c:pt idx="74">
                  <c:v>1</c:v>
                </c:pt>
                <c:pt idx="75">
                  <c:v>1</c:v>
                </c:pt>
                <c:pt idx="76">
                  <c:v>1</c:v>
                </c:pt>
                <c:pt idx="77">
                  <c:v>2</c:v>
                </c:pt>
                <c:pt idx="78">
                  <c:v>2</c:v>
                </c:pt>
                <c:pt idx="79">
                  <c:v>2.5</c:v>
                </c:pt>
                <c:pt idx="80">
                  <c:v>3</c:v>
                </c:pt>
                <c:pt idx="81">
                  <c:v>1</c:v>
                </c:pt>
                <c:pt idx="82">
                  <c:v>3</c:v>
                </c:pt>
                <c:pt idx="83">
                  <c:v>4</c:v>
                </c:pt>
                <c:pt idx="84">
                  <c:v>5</c:v>
                </c:pt>
                <c:pt idx="85">
                  <c:v>4</c:v>
                </c:pt>
                <c:pt idx="86">
                  <c:v>4</c:v>
                </c:pt>
                <c:pt idx="87">
                  <c:v>3</c:v>
                </c:pt>
                <c:pt idx="88">
                  <c:v>3</c:v>
                </c:pt>
                <c:pt idx="89">
                  <c:v>3</c:v>
                </c:pt>
                <c:pt idx="90">
                  <c:v>1</c:v>
                </c:pt>
                <c:pt idx="91">
                  <c:v>5</c:v>
                </c:pt>
                <c:pt idx="92">
                  <c:v>4</c:v>
                </c:pt>
                <c:pt idx="93">
                  <c:v>3</c:v>
                </c:pt>
                <c:pt idx="94">
                  <c:v>3</c:v>
                </c:pt>
                <c:pt idx="95">
                  <c:v>3</c:v>
                </c:pt>
                <c:pt idx="96">
                  <c:v>1</c:v>
                </c:pt>
                <c:pt idx="97">
                  <c:v>3</c:v>
                </c:pt>
                <c:pt idx="98">
                  <c:v>4</c:v>
                </c:pt>
                <c:pt idx="99">
                  <c:v>2</c:v>
                </c:pt>
                <c:pt idx="100">
                  <c:v>3</c:v>
                </c:pt>
                <c:pt idx="101">
                  <c:v>3</c:v>
                </c:pt>
                <c:pt idx="102">
                  <c:v>5</c:v>
                </c:pt>
                <c:pt idx="103">
                  <c:v>1</c:v>
                </c:pt>
                <c:pt idx="104">
                  <c:v>3</c:v>
                </c:pt>
                <c:pt idx="105">
                  <c:v>3</c:v>
                </c:pt>
                <c:pt idx="106">
                  <c:v>2</c:v>
                </c:pt>
                <c:pt idx="107">
                  <c:v>1</c:v>
                </c:pt>
                <c:pt idx="108">
                  <c:v>1</c:v>
                </c:pt>
                <c:pt idx="109">
                  <c:v>3</c:v>
                </c:pt>
                <c:pt idx="110">
                  <c:v>5</c:v>
                </c:pt>
                <c:pt idx="111">
                  <c:v>3</c:v>
                </c:pt>
                <c:pt idx="112">
                  <c:v>1</c:v>
                </c:pt>
                <c:pt idx="113">
                  <c:v>4</c:v>
                </c:pt>
                <c:pt idx="114">
                  <c:v>4</c:v>
                </c:pt>
                <c:pt idx="115">
                  <c:v>5</c:v>
                </c:pt>
                <c:pt idx="116">
                  <c:v>1</c:v>
                </c:pt>
                <c:pt idx="117">
                  <c:v>3</c:v>
                </c:pt>
                <c:pt idx="118">
                  <c:v>3</c:v>
                </c:pt>
                <c:pt idx="119">
                  <c:v>2.5</c:v>
                </c:pt>
                <c:pt idx="120">
                  <c:v>2</c:v>
                </c:pt>
                <c:pt idx="121">
                  <c:v>3</c:v>
                </c:pt>
                <c:pt idx="122">
                  <c:v>5</c:v>
                </c:pt>
                <c:pt idx="123">
                  <c:v>1</c:v>
                </c:pt>
                <c:pt idx="124">
                  <c:v>5</c:v>
                </c:pt>
                <c:pt idx="125">
                  <c:v>3</c:v>
                </c:pt>
                <c:pt idx="126">
                  <c:v>2</c:v>
                </c:pt>
                <c:pt idx="127">
                  <c:v>1</c:v>
                </c:pt>
                <c:pt idx="128">
                  <c:v>3</c:v>
                </c:pt>
                <c:pt idx="129">
                  <c:v>3</c:v>
                </c:pt>
                <c:pt idx="130">
                  <c:v>3</c:v>
                </c:pt>
                <c:pt idx="131">
                  <c:v>3</c:v>
                </c:pt>
                <c:pt idx="132">
                  <c:v>3</c:v>
                </c:pt>
                <c:pt idx="133">
                  <c:v>1</c:v>
                </c:pt>
                <c:pt idx="134">
                  <c:v>3</c:v>
                </c:pt>
                <c:pt idx="135">
                  <c:v>4</c:v>
                </c:pt>
                <c:pt idx="136">
                  <c:v>3</c:v>
                </c:pt>
                <c:pt idx="137">
                  <c:v>4</c:v>
                </c:pt>
                <c:pt idx="138">
                  <c:v>2</c:v>
                </c:pt>
                <c:pt idx="139">
                  <c:v>4</c:v>
                </c:pt>
                <c:pt idx="140">
                  <c:v>5</c:v>
                </c:pt>
                <c:pt idx="141">
                  <c:v>3</c:v>
                </c:pt>
                <c:pt idx="142">
                  <c:v>3</c:v>
                </c:pt>
                <c:pt idx="143">
                  <c:v>2</c:v>
                </c:pt>
                <c:pt idx="144">
                  <c:v>5</c:v>
                </c:pt>
                <c:pt idx="145">
                  <c:v>2</c:v>
                </c:pt>
                <c:pt idx="146">
                  <c:v>1</c:v>
                </c:pt>
                <c:pt idx="147">
                  <c:v>1</c:v>
                </c:pt>
                <c:pt idx="148">
                  <c:v>5</c:v>
                </c:pt>
              </c:numCache>
            </c:numRef>
          </c:val>
          <c:smooth val="0"/>
          <c:extLst>
            <c:ext xmlns:c16="http://schemas.microsoft.com/office/drawing/2014/chart" uri="{C3380CC4-5D6E-409C-BE32-E72D297353CC}">
              <c16:uniqueId val="{00000000-159F-4639-BA13-A78AB676EDF7}"/>
            </c:ext>
          </c:extLst>
        </c:ser>
        <c:ser>
          <c:idx val="1"/>
          <c:order val="1"/>
          <c:tx>
            <c:strRef>
              <c:f>Trendline!$C$1</c:f>
              <c:strCache>
                <c:ptCount val="1"/>
                <c:pt idx="0">
                  <c:v>Forecast                 (Performance Rating)</c:v>
                </c:pt>
              </c:strCache>
            </c:strRef>
          </c:tx>
          <c:spPr>
            <a:ln w="25400" cap="rnd">
              <a:solidFill>
                <a:schemeClr val="accent2"/>
              </a:solidFill>
              <a:round/>
            </a:ln>
            <a:effectLst/>
          </c:spPr>
          <c:marker>
            <c:symbol val="none"/>
          </c:marker>
          <c:cat>
            <c:numRef>
              <c:f>Trendline!$A$2:$A$188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Trendline!$C$2:$C$188</c:f>
              <c:numCache>
                <c:formatCode>General</c:formatCode>
                <c:ptCount val="187"/>
                <c:pt idx="148" formatCode="0">
                  <c:v>5</c:v>
                </c:pt>
                <c:pt idx="149" formatCode="0">
                  <c:v>2.9747146992640117</c:v>
                </c:pt>
                <c:pt idx="150" formatCode="0">
                  <c:v>2.9800284979058542</c:v>
                </c:pt>
                <c:pt idx="151" formatCode="0">
                  <c:v>2.9853422965476857</c:v>
                </c:pt>
                <c:pt idx="152" formatCode="0">
                  <c:v>2.9906560951895282</c:v>
                </c:pt>
                <c:pt idx="153" formatCode="0">
                  <c:v>2.9959698938313601</c:v>
                </c:pt>
                <c:pt idx="154" formatCode="0">
                  <c:v>3.0012836924732027</c:v>
                </c:pt>
                <c:pt idx="155" formatCode="0">
                  <c:v>3.0065974911150342</c:v>
                </c:pt>
                <c:pt idx="156" formatCode="0">
                  <c:v>3.0119112897568767</c:v>
                </c:pt>
                <c:pt idx="157" formatCode="0">
                  <c:v>3.0172250883987086</c:v>
                </c:pt>
                <c:pt idx="158" formatCode="0">
                  <c:v>3.0225388870405512</c:v>
                </c:pt>
                <c:pt idx="159" formatCode="0">
                  <c:v>3.0278526856823831</c:v>
                </c:pt>
                <c:pt idx="160" formatCode="0">
                  <c:v>3.0331664843242252</c:v>
                </c:pt>
                <c:pt idx="161" formatCode="0">
                  <c:v>3.0384802829660571</c:v>
                </c:pt>
                <c:pt idx="162" formatCode="0">
                  <c:v>3.0437940816078997</c:v>
                </c:pt>
                <c:pt idx="163" formatCode="0">
                  <c:v>3.0491078802497316</c:v>
                </c:pt>
                <c:pt idx="164" formatCode="0">
                  <c:v>3.0544216788915737</c:v>
                </c:pt>
                <c:pt idx="165" formatCode="0">
                  <c:v>3.0597354775334056</c:v>
                </c:pt>
                <c:pt idx="166" formatCode="0">
                  <c:v>3.0650492761752481</c:v>
                </c:pt>
                <c:pt idx="167" formatCode="0">
                  <c:v>3.07036307481708</c:v>
                </c:pt>
                <c:pt idx="168" formatCode="0">
                  <c:v>3.0756768734589226</c:v>
                </c:pt>
                <c:pt idx="169" formatCode="0">
                  <c:v>3.0809906721007541</c:v>
                </c:pt>
                <c:pt idx="170" formatCode="0">
                  <c:v>3.0863044707425966</c:v>
                </c:pt>
                <c:pt idx="171" formatCode="0">
                  <c:v>3.0916182693844285</c:v>
                </c:pt>
                <c:pt idx="172" formatCode="0">
                  <c:v>3.0969320680262711</c:v>
                </c:pt>
                <c:pt idx="173" formatCode="0">
                  <c:v>3.1022458666681025</c:v>
                </c:pt>
                <c:pt idx="174" formatCode="0">
                  <c:v>3.1075596653099451</c:v>
                </c:pt>
                <c:pt idx="175" formatCode="0">
                  <c:v>3.112873463951777</c:v>
                </c:pt>
                <c:pt idx="176" formatCode="0">
                  <c:v>3.1181872625936196</c:v>
                </c:pt>
                <c:pt idx="177" formatCode="0">
                  <c:v>3.1235010612354515</c:v>
                </c:pt>
                <c:pt idx="178" formatCode="0">
                  <c:v>3.1288148598772936</c:v>
                </c:pt>
                <c:pt idx="179" formatCode="0">
                  <c:v>3.1341286585191255</c:v>
                </c:pt>
                <c:pt idx="180" formatCode="0">
                  <c:v>3.139442457160968</c:v>
                </c:pt>
                <c:pt idx="181" formatCode="0">
                  <c:v>3.1447562558027999</c:v>
                </c:pt>
                <c:pt idx="182" formatCode="0">
                  <c:v>3.1500700544446421</c:v>
                </c:pt>
                <c:pt idx="183" formatCode="0">
                  <c:v>3.155383853086474</c:v>
                </c:pt>
                <c:pt idx="184" formatCode="0">
                  <c:v>3.1606976517283165</c:v>
                </c:pt>
                <c:pt idx="185" formatCode="0">
                  <c:v>3.1660114503701484</c:v>
                </c:pt>
                <c:pt idx="186" formatCode="0">
                  <c:v>3.171325249011991</c:v>
                </c:pt>
              </c:numCache>
            </c:numRef>
          </c:val>
          <c:smooth val="0"/>
          <c:extLst>
            <c:ext xmlns:c16="http://schemas.microsoft.com/office/drawing/2014/chart" uri="{C3380CC4-5D6E-409C-BE32-E72D297353CC}">
              <c16:uniqueId val="{00000001-159F-4639-BA13-A78AB676EDF7}"/>
            </c:ext>
          </c:extLst>
        </c:ser>
        <c:ser>
          <c:idx val="2"/>
          <c:order val="2"/>
          <c:tx>
            <c:strRef>
              <c:f>Trendline!$D$1</c:f>
              <c:strCache>
                <c:ptCount val="1"/>
                <c:pt idx="0">
                  <c:v>Lower Confidence Bound (Performance Rating)</c:v>
                </c:pt>
              </c:strCache>
            </c:strRef>
          </c:tx>
          <c:spPr>
            <a:ln w="12700" cap="rnd">
              <a:solidFill>
                <a:srgbClr val="C0504D"/>
              </a:solidFill>
              <a:prstDash val="solid"/>
              <a:round/>
            </a:ln>
            <a:effectLst/>
          </c:spPr>
          <c:marker>
            <c:symbol val="none"/>
          </c:marker>
          <c:cat>
            <c:numRef>
              <c:f>Trendline!$A$2:$A$188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Trendline!$D$2:$D$188</c:f>
              <c:numCache>
                <c:formatCode>General</c:formatCode>
                <c:ptCount val="187"/>
                <c:pt idx="148" formatCode="0">
                  <c:v>5</c:v>
                </c:pt>
                <c:pt idx="149" formatCode="0">
                  <c:v>0.30507521447498487</c:v>
                </c:pt>
                <c:pt idx="150" formatCode="0">
                  <c:v>0.28894582392930168</c:v>
                </c:pt>
                <c:pt idx="151" formatCode="0">
                  <c:v>0.27265095468283151</c:v>
                </c:pt>
                <c:pt idx="152" formatCode="0">
                  <c:v>0.25619192339099595</c:v>
                </c:pt>
                <c:pt idx="153" formatCode="0">
                  <c:v>0.2395700345963796</c:v>
                </c:pt>
                <c:pt idx="154" formatCode="0">
                  <c:v>0.22278658043567923</c:v>
                </c:pt>
                <c:pt idx="155" formatCode="0">
                  <c:v>0.20584284037704004</c:v>
                </c:pt>
                <c:pt idx="156" formatCode="0">
                  <c:v>0.18874008098658424</c:v>
                </c:pt>
                <c:pt idx="157" formatCode="0">
                  <c:v>0.17147955572227902</c:v>
                </c:pt>
                <c:pt idx="158" formatCode="0">
                  <c:v>0.15406250475404626</c:v>
                </c:pt>
                <c:pt idx="159" formatCode="0">
                  <c:v>0.13649015480834281</c:v>
                </c:pt>
                <c:pt idx="160" formatCode="0">
                  <c:v>0.1187637190362163</c:v>
                </c:pt>
                <c:pt idx="161" formatCode="0">
                  <c:v>0.10088439690316875</c:v>
                </c:pt>
                <c:pt idx="162" formatCode="0">
                  <c:v>8.2853374099907118E-2</c:v>
                </c:pt>
                <c:pt idx="163" formatCode="0">
                  <c:v>6.4671822472428975E-2</c:v>
                </c:pt>
                <c:pt idx="164" formatCode="0">
                  <c:v>4.6340899970610305E-2</c:v>
                </c:pt>
                <c:pt idx="165" formatCode="0">
                  <c:v>2.7861750613836556E-2</c:v>
                </c:pt>
                <c:pt idx="166" formatCode="0">
                  <c:v>9.2355044729370839E-3</c:v>
                </c:pt>
                <c:pt idx="167" formatCode="0">
                  <c:v>-9.536722332943004E-3</c:v>
                </c:pt>
                <c:pt idx="168" formatCode="0">
                  <c:v>-2.8453827625176231E-2</c:v>
                </c:pt>
                <c:pt idx="169" formatCode="0">
                  <c:v>-4.7514723141481863E-2</c:v>
                </c:pt>
                <c:pt idx="170" formatCode="0">
                  <c:v>-6.6718334499298759E-2</c:v>
                </c:pt>
                <c:pt idx="171" formatCode="0">
                  <c:v>-8.6063601147908564E-2</c:v>
                </c:pt>
                <c:pt idx="172" formatCode="0">
                  <c:v>-0.10554947630977818</c:v>
                </c:pt>
                <c:pt idx="173" formatCode="0">
                  <c:v>-0.12517492691223842</c:v>
                </c:pt>
                <c:pt idx="174" formatCode="0">
                  <c:v>-0.14493893350990872</c:v>
                </c:pt>
                <c:pt idx="175" formatCode="0">
                  <c:v>-0.16484049019889513</c:v>
                </c:pt>
                <c:pt idx="176" formatCode="0">
                  <c:v>-0.18487860452309057</c:v>
                </c:pt>
                <c:pt idx="177" formatCode="0">
                  <c:v>-0.20505229737356601</c:v>
                </c:pt>
                <c:pt idx="178" formatCode="0">
                  <c:v>-0.2253606028812829</c:v>
                </c:pt>
                <c:pt idx="179" formatCode="0">
                  <c:v>-0.24580256830405389</c:v>
                </c:pt>
                <c:pt idx="180" formatCode="0">
                  <c:v>-0.26637725390794253</c:v>
                </c:pt>
                <c:pt idx="181" formatCode="0">
                  <c:v>-0.28708373284394639</c:v>
                </c:pt>
                <c:pt idx="182" formatCode="0">
                  <c:v>-0.30792109102009713</c:v>
                </c:pt>
                <c:pt idx="183" formatCode="0">
                  <c:v>-0.3288884269697796</c:v>
                </c:pt>
                <c:pt idx="184" formatCode="0">
                  <c:v>-0.3499848517163402</c:v>
                </c:pt>
                <c:pt idx="185" formatCode="0">
                  <c:v>-0.37120948863473879</c:v>
                </c:pt>
                <c:pt idx="186" formatCode="0">
                  <c:v>-0.3925614733102667</c:v>
                </c:pt>
              </c:numCache>
            </c:numRef>
          </c:val>
          <c:smooth val="0"/>
          <c:extLst>
            <c:ext xmlns:c16="http://schemas.microsoft.com/office/drawing/2014/chart" uri="{C3380CC4-5D6E-409C-BE32-E72D297353CC}">
              <c16:uniqueId val="{00000002-159F-4639-BA13-A78AB676EDF7}"/>
            </c:ext>
          </c:extLst>
        </c:ser>
        <c:ser>
          <c:idx val="3"/>
          <c:order val="3"/>
          <c:tx>
            <c:strRef>
              <c:f>Trendline!$E$1</c:f>
              <c:strCache>
                <c:ptCount val="1"/>
                <c:pt idx="0">
                  <c:v>Upper Confidence Bound (Performance Rating)</c:v>
                </c:pt>
              </c:strCache>
            </c:strRef>
          </c:tx>
          <c:spPr>
            <a:ln w="12700" cap="rnd">
              <a:solidFill>
                <a:srgbClr val="C0504D"/>
              </a:solidFill>
              <a:prstDash val="solid"/>
              <a:round/>
            </a:ln>
            <a:effectLst/>
          </c:spPr>
          <c:marker>
            <c:symbol val="none"/>
          </c:marker>
          <c:cat>
            <c:numRef>
              <c:f>Trendline!$A$2:$A$188</c:f>
              <c:numCache>
                <c:formatCode>m/d/yyyy</c:formatCode>
                <c:ptCount val="187"/>
                <c:pt idx="0">
                  <c:v>42015</c:v>
                </c:pt>
                <c:pt idx="1">
                  <c:v>42022</c:v>
                </c:pt>
                <c:pt idx="2">
                  <c:v>42029</c:v>
                </c:pt>
                <c:pt idx="3">
                  <c:v>42036</c:v>
                </c:pt>
                <c:pt idx="4">
                  <c:v>42043</c:v>
                </c:pt>
                <c:pt idx="5">
                  <c:v>42050</c:v>
                </c:pt>
                <c:pt idx="6">
                  <c:v>42057</c:v>
                </c:pt>
                <c:pt idx="7">
                  <c:v>42064</c:v>
                </c:pt>
                <c:pt idx="8">
                  <c:v>42071</c:v>
                </c:pt>
                <c:pt idx="9">
                  <c:v>42078</c:v>
                </c:pt>
                <c:pt idx="10">
                  <c:v>42085</c:v>
                </c:pt>
                <c:pt idx="11">
                  <c:v>42092</c:v>
                </c:pt>
                <c:pt idx="12">
                  <c:v>42099</c:v>
                </c:pt>
                <c:pt idx="13">
                  <c:v>42106</c:v>
                </c:pt>
                <c:pt idx="14">
                  <c:v>42113</c:v>
                </c:pt>
                <c:pt idx="15">
                  <c:v>42120</c:v>
                </c:pt>
                <c:pt idx="16">
                  <c:v>42127</c:v>
                </c:pt>
                <c:pt idx="17">
                  <c:v>42134</c:v>
                </c:pt>
                <c:pt idx="18">
                  <c:v>42141</c:v>
                </c:pt>
                <c:pt idx="19">
                  <c:v>42148</c:v>
                </c:pt>
                <c:pt idx="20">
                  <c:v>42155</c:v>
                </c:pt>
                <c:pt idx="21">
                  <c:v>42162</c:v>
                </c:pt>
                <c:pt idx="22">
                  <c:v>42169</c:v>
                </c:pt>
                <c:pt idx="23">
                  <c:v>42176</c:v>
                </c:pt>
                <c:pt idx="24">
                  <c:v>42183</c:v>
                </c:pt>
                <c:pt idx="25">
                  <c:v>42190</c:v>
                </c:pt>
                <c:pt idx="26">
                  <c:v>42197</c:v>
                </c:pt>
                <c:pt idx="27">
                  <c:v>42204</c:v>
                </c:pt>
                <c:pt idx="28">
                  <c:v>42211</c:v>
                </c:pt>
                <c:pt idx="29">
                  <c:v>42218</c:v>
                </c:pt>
                <c:pt idx="30">
                  <c:v>42225</c:v>
                </c:pt>
                <c:pt idx="31">
                  <c:v>42232</c:v>
                </c:pt>
                <c:pt idx="32">
                  <c:v>42239</c:v>
                </c:pt>
                <c:pt idx="33">
                  <c:v>42246</c:v>
                </c:pt>
                <c:pt idx="34">
                  <c:v>42253</c:v>
                </c:pt>
                <c:pt idx="35">
                  <c:v>42260</c:v>
                </c:pt>
                <c:pt idx="36">
                  <c:v>42267</c:v>
                </c:pt>
                <c:pt idx="37">
                  <c:v>42274</c:v>
                </c:pt>
                <c:pt idx="38">
                  <c:v>42281</c:v>
                </c:pt>
                <c:pt idx="39">
                  <c:v>42288</c:v>
                </c:pt>
                <c:pt idx="40">
                  <c:v>42295</c:v>
                </c:pt>
                <c:pt idx="41">
                  <c:v>42302</c:v>
                </c:pt>
                <c:pt idx="42">
                  <c:v>42309</c:v>
                </c:pt>
                <c:pt idx="43">
                  <c:v>42316</c:v>
                </c:pt>
                <c:pt idx="44">
                  <c:v>42323</c:v>
                </c:pt>
                <c:pt idx="45">
                  <c:v>42330</c:v>
                </c:pt>
                <c:pt idx="46">
                  <c:v>42337</c:v>
                </c:pt>
                <c:pt idx="47">
                  <c:v>42344</c:v>
                </c:pt>
                <c:pt idx="48">
                  <c:v>42351</c:v>
                </c:pt>
                <c:pt idx="49">
                  <c:v>42358</c:v>
                </c:pt>
                <c:pt idx="50">
                  <c:v>42365</c:v>
                </c:pt>
                <c:pt idx="51">
                  <c:v>42372</c:v>
                </c:pt>
                <c:pt idx="52">
                  <c:v>42379</c:v>
                </c:pt>
                <c:pt idx="53">
                  <c:v>42386</c:v>
                </c:pt>
                <c:pt idx="54">
                  <c:v>42393</c:v>
                </c:pt>
                <c:pt idx="55">
                  <c:v>42400</c:v>
                </c:pt>
                <c:pt idx="56">
                  <c:v>42407</c:v>
                </c:pt>
                <c:pt idx="57">
                  <c:v>42414</c:v>
                </c:pt>
                <c:pt idx="58">
                  <c:v>42421</c:v>
                </c:pt>
                <c:pt idx="59">
                  <c:v>42428</c:v>
                </c:pt>
                <c:pt idx="60">
                  <c:v>42435</c:v>
                </c:pt>
                <c:pt idx="61">
                  <c:v>42442</c:v>
                </c:pt>
                <c:pt idx="62">
                  <c:v>42449</c:v>
                </c:pt>
                <c:pt idx="63">
                  <c:v>42456</c:v>
                </c:pt>
                <c:pt idx="64">
                  <c:v>42463</c:v>
                </c:pt>
                <c:pt idx="65">
                  <c:v>42470</c:v>
                </c:pt>
                <c:pt idx="66">
                  <c:v>42477</c:v>
                </c:pt>
                <c:pt idx="67">
                  <c:v>42484</c:v>
                </c:pt>
                <c:pt idx="68">
                  <c:v>42491</c:v>
                </c:pt>
                <c:pt idx="69">
                  <c:v>42498</c:v>
                </c:pt>
                <c:pt idx="70">
                  <c:v>42505</c:v>
                </c:pt>
                <c:pt idx="71">
                  <c:v>42512</c:v>
                </c:pt>
                <c:pt idx="72">
                  <c:v>42519</c:v>
                </c:pt>
                <c:pt idx="73">
                  <c:v>42526</c:v>
                </c:pt>
                <c:pt idx="74">
                  <c:v>42533</c:v>
                </c:pt>
                <c:pt idx="75">
                  <c:v>42540</c:v>
                </c:pt>
                <c:pt idx="76">
                  <c:v>42547</c:v>
                </c:pt>
                <c:pt idx="77">
                  <c:v>42554</c:v>
                </c:pt>
                <c:pt idx="78">
                  <c:v>42561</c:v>
                </c:pt>
                <c:pt idx="79">
                  <c:v>42568</c:v>
                </c:pt>
                <c:pt idx="80">
                  <c:v>42575</c:v>
                </c:pt>
                <c:pt idx="81">
                  <c:v>42582</c:v>
                </c:pt>
                <c:pt idx="82">
                  <c:v>42589</c:v>
                </c:pt>
                <c:pt idx="83">
                  <c:v>42596</c:v>
                </c:pt>
                <c:pt idx="84">
                  <c:v>42603</c:v>
                </c:pt>
                <c:pt idx="85">
                  <c:v>42610</c:v>
                </c:pt>
                <c:pt idx="86">
                  <c:v>42617</c:v>
                </c:pt>
                <c:pt idx="87">
                  <c:v>42624</c:v>
                </c:pt>
                <c:pt idx="88">
                  <c:v>42631</c:v>
                </c:pt>
                <c:pt idx="89">
                  <c:v>42638</c:v>
                </c:pt>
                <c:pt idx="90">
                  <c:v>42645</c:v>
                </c:pt>
                <c:pt idx="91">
                  <c:v>42652</c:v>
                </c:pt>
                <c:pt idx="92">
                  <c:v>42659</c:v>
                </c:pt>
                <c:pt idx="93">
                  <c:v>42666</c:v>
                </c:pt>
                <c:pt idx="94">
                  <c:v>42673</c:v>
                </c:pt>
                <c:pt idx="95">
                  <c:v>42680</c:v>
                </c:pt>
                <c:pt idx="96">
                  <c:v>42687</c:v>
                </c:pt>
                <c:pt idx="97">
                  <c:v>42694</c:v>
                </c:pt>
                <c:pt idx="98">
                  <c:v>42701</c:v>
                </c:pt>
                <c:pt idx="99">
                  <c:v>42708</c:v>
                </c:pt>
                <c:pt idx="100">
                  <c:v>42715</c:v>
                </c:pt>
                <c:pt idx="101">
                  <c:v>42722</c:v>
                </c:pt>
                <c:pt idx="102">
                  <c:v>42729</c:v>
                </c:pt>
                <c:pt idx="103">
                  <c:v>42736</c:v>
                </c:pt>
                <c:pt idx="104">
                  <c:v>42743</c:v>
                </c:pt>
                <c:pt idx="105">
                  <c:v>42750</c:v>
                </c:pt>
                <c:pt idx="106">
                  <c:v>42757</c:v>
                </c:pt>
                <c:pt idx="107">
                  <c:v>42764</c:v>
                </c:pt>
                <c:pt idx="108">
                  <c:v>42771</c:v>
                </c:pt>
                <c:pt idx="109">
                  <c:v>42778</c:v>
                </c:pt>
                <c:pt idx="110">
                  <c:v>42785</c:v>
                </c:pt>
                <c:pt idx="111">
                  <c:v>42792</c:v>
                </c:pt>
                <c:pt idx="112">
                  <c:v>42799</c:v>
                </c:pt>
                <c:pt idx="113">
                  <c:v>42806</c:v>
                </c:pt>
                <c:pt idx="114">
                  <c:v>42813</c:v>
                </c:pt>
                <c:pt idx="115">
                  <c:v>42820</c:v>
                </c:pt>
                <c:pt idx="116">
                  <c:v>42827</c:v>
                </c:pt>
                <c:pt idx="117">
                  <c:v>42834</c:v>
                </c:pt>
                <c:pt idx="118">
                  <c:v>42841</c:v>
                </c:pt>
                <c:pt idx="119">
                  <c:v>42848</c:v>
                </c:pt>
                <c:pt idx="120">
                  <c:v>42855</c:v>
                </c:pt>
                <c:pt idx="121">
                  <c:v>42862</c:v>
                </c:pt>
                <c:pt idx="122">
                  <c:v>42869</c:v>
                </c:pt>
                <c:pt idx="123">
                  <c:v>42876</c:v>
                </c:pt>
                <c:pt idx="124">
                  <c:v>42883</c:v>
                </c:pt>
                <c:pt idx="125">
                  <c:v>42890</c:v>
                </c:pt>
                <c:pt idx="126">
                  <c:v>42897</c:v>
                </c:pt>
                <c:pt idx="127">
                  <c:v>42904</c:v>
                </c:pt>
                <c:pt idx="128">
                  <c:v>42911</c:v>
                </c:pt>
                <c:pt idx="129">
                  <c:v>42918</c:v>
                </c:pt>
                <c:pt idx="130">
                  <c:v>42925</c:v>
                </c:pt>
                <c:pt idx="131">
                  <c:v>42932</c:v>
                </c:pt>
                <c:pt idx="132">
                  <c:v>42939</c:v>
                </c:pt>
                <c:pt idx="133">
                  <c:v>42946</c:v>
                </c:pt>
                <c:pt idx="134">
                  <c:v>42953</c:v>
                </c:pt>
                <c:pt idx="135">
                  <c:v>42960</c:v>
                </c:pt>
                <c:pt idx="136">
                  <c:v>42967</c:v>
                </c:pt>
                <c:pt idx="137">
                  <c:v>42974</c:v>
                </c:pt>
                <c:pt idx="138">
                  <c:v>42981</c:v>
                </c:pt>
                <c:pt idx="139">
                  <c:v>42988</c:v>
                </c:pt>
                <c:pt idx="140">
                  <c:v>42995</c:v>
                </c:pt>
                <c:pt idx="141">
                  <c:v>43002</c:v>
                </c:pt>
                <c:pt idx="142">
                  <c:v>43009</c:v>
                </c:pt>
                <c:pt idx="143">
                  <c:v>43016</c:v>
                </c:pt>
                <c:pt idx="144">
                  <c:v>43023</c:v>
                </c:pt>
                <c:pt idx="145">
                  <c:v>43030</c:v>
                </c:pt>
                <c:pt idx="146">
                  <c:v>43037</c:v>
                </c:pt>
                <c:pt idx="147">
                  <c:v>43044</c:v>
                </c:pt>
                <c:pt idx="148">
                  <c:v>43051</c:v>
                </c:pt>
                <c:pt idx="149">
                  <c:v>43058</c:v>
                </c:pt>
                <c:pt idx="150">
                  <c:v>43065</c:v>
                </c:pt>
                <c:pt idx="151">
                  <c:v>43072</c:v>
                </c:pt>
                <c:pt idx="152">
                  <c:v>43079</c:v>
                </c:pt>
                <c:pt idx="153">
                  <c:v>43086</c:v>
                </c:pt>
                <c:pt idx="154">
                  <c:v>43093</c:v>
                </c:pt>
                <c:pt idx="155">
                  <c:v>43100</c:v>
                </c:pt>
                <c:pt idx="156">
                  <c:v>43107</c:v>
                </c:pt>
                <c:pt idx="157">
                  <c:v>43114</c:v>
                </c:pt>
                <c:pt idx="158">
                  <c:v>43121</c:v>
                </c:pt>
                <c:pt idx="159">
                  <c:v>43128</c:v>
                </c:pt>
                <c:pt idx="160">
                  <c:v>43135</c:v>
                </c:pt>
                <c:pt idx="161">
                  <c:v>43142</c:v>
                </c:pt>
                <c:pt idx="162">
                  <c:v>43149</c:v>
                </c:pt>
                <c:pt idx="163">
                  <c:v>43156</c:v>
                </c:pt>
                <c:pt idx="164">
                  <c:v>43163</c:v>
                </c:pt>
                <c:pt idx="165">
                  <c:v>43170</c:v>
                </c:pt>
                <c:pt idx="166">
                  <c:v>43177</c:v>
                </c:pt>
                <c:pt idx="167">
                  <c:v>43184</c:v>
                </c:pt>
                <c:pt idx="168">
                  <c:v>43191</c:v>
                </c:pt>
                <c:pt idx="169">
                  <c:v>43198</c:v>
                </c:pt>
                <c:pt idx="170">
                  <c:v>43205</c:v>
                </c:pt>
                <c:pt idx="171">
                  <c:v>43212</c:v>
                </c:pt>
                <c:pt idx="172">
                  <c:v>43219</c:v>
                </c:pt>
                <c:pt idx="173">
                  <c:v>43226</c:v>
                </c:pt>
                <c:pt idx="174">
                  <c:v>43233</c:v>
                </c:pt>
                <c:pt idx="175">
                  <c:v>43240</c:v>
                </c:pt>
                <c:pt idx="176">
                  <c:v>43247</c:v>
                </c:pt>
                <c:pt idx="177">
                  <c:v>43254</c:v>
                </c:pt>
                <c:pt idx="178">
                  <c:v>43261</c:v>
                </c:pt>
                <c:pt idx="179">
                  <c:v>43268</c:v>
                </c:pt>
                <c:pt idx="180">
                  <c:v>43275</c:v>
                </c:pt>
                <c:pt idx="181">
                  <c:v>43282</c:v>
                </c:pt>
                <c:pt idx="182">
                  <c:v>43289</c:v>
                </c:pt>
                <c:pt idx="183">
                  <c:v>43296</c:v>
                </c:pt>
                <c:pt idx="184">
                  <c:v>43303</c:v>
                </c:pt>
                <c:pt idx="185">
                  <c:v>43310</c:v>
                </c:pt>
                <c:pt idx="186">
                  <c:v>43317</c:v>
                </c:pt>
              </c:numCache>
            </c:numRef>
          </c:cat>
          <c:val>
            <c:numRef>
              <c:f>Trendline!$E$2:$E$188</c:f>
              <c:numCache>
                <c:formatCode>General</c:formatCode>
                <c:ptCount val="187"/>
                <c:pt idx="148" formatCode="0">
                  <c:v>5</c:v>
                </c:pt>
                <c:pt idx="149" formatCode="0">
                  <c:v>5.6443541840530385</c:v>
                </c:pt>
                <c:pt idx="150" formatCode="0">
                  <c:v>5.6711111718824068</c:v>
                </c:pt>
                <c:pt idx="151" formatCode="0">
                  <c:v>5.6980336384125394</c:v>
                </c:pt>
                <c:pt idx="152" formatCode="0">
                  <c:v>5.7251202669880605</c:v>
                </c:pt>
                <c:pt idx="153" formatCode="0">
                  <c:v>5.7523697530663407</c:v>
                </c:pt>
                <c:pt idx="154" formatCode="0">
                  <c:v>5.7797808045107262</c:v>
                </c:pt>
                <c:pt idx="155" formatCode="0">
                  <c:v>5.8073521418530287</c:v>
                </c:pt>
                <c:pt idx="156" formatCode="0">
                  <c:v>5.8350824985271696</c:v>
                </c:pt>
                <c:pt idx="157" formatCode="0">
                  <c:v>5.8629706210751387</c:v>
                </c:pt>
                <c:pt idx="158" formatCode="0">
                  <c:v>5.8910152693270561</c:v>
                </c:pt>
                <c:pt idx="159" formatCode="0">
                  <c:v>5.9192152165564238</c:v>
                </c:pt>
                <c:pt idx="160" formatCode="0">
                  <c:v>5.9475692496122345</c:v>
                </c:pt>
                <c:pt idx="161" formatCode="0">
                  <c:v>5.9760761690289455</c:v>
                </c:pt>
                <c:pt idx="162" formatCode="0">
                  <c:v>6.0047347891158918</c:v>
                </c:pt>
                <c:pt idx="163" formatCode="0">
                  <c:v>6.0335439380270337</c:v>
                </c:pt>
                <c:pt idx="164" formatCode="0">
                  <c:v>6.0625024578125366</c:v>
                </c:pt>
                <c:pt idx="165" formatCode="0">
                  <c:v>6.0916092044529746</c:v>
                </c:pt>
                <c:pt idx="166" formatCode="0">
                  <c:v>6.1208630478775596</c:v>
                </c:pt>
                <c:pt idx="167" formatCode="0">
                  <c:v>6.1502628719671026</c:v>
                </c:pt>
                <c:pt idx="168" formatCode="0">
                  <c:v>6.1798075745430214</c:v>
                </c:pt>
                <c:pt idx="169" formatCode="0">
                  <c:v>6.2094960673429895</c:v>
                </c:pt>
                <c:pt idx="170" formatCode="0">
                  <c:v>6.2393272759844915</c:v>
                </c:pt>
                <c:pt idx="171" formatCode="0">
                  <c:v>6.2693001399167656</c:v>
                </c:pt>
                <c:pt idx="172" formatCode="0">
                  <c:v>6.2994136123623203</c:v>
                </c:pt>
                <c:pt idx="173" formatCode="0">
                  <c:v>6.3296666602484439</c:v>
                </c:pt>
                <c:pt idx="174" formatCode="0">
                  <c:v>6.3600582641297994</c:v>
                </c:pt>
                <c:pt idx="175" formatCode="0">
                  <c:v>6.3905874181024487</c:v>
                </c:pt>
                <c:pt idx="176" formatCode="0">
                  <c:v>6.4212531297103297</c:v>
                </c:pt>
                <c:pt idx="177" formatCode="0">
                  <c:v>6.4520544198444689</c:v>
                </c:pt>
                <c:pt idx="178" formatCode="0">
                  <c:v>6.4829903226358701</c:v>
                </c:pt>
                <c:pt idx="179" formatCode="0">
                  <c:v>6.5140598853423048</c:v>
                </c:pt>
                <c:pt idx="180" formatCode="0">
                  <c:v>6.5452621682298791</c:v>
                </c:pt>
                <c:pt idx="181" formatCode="0">
                  <c:v>6.5765962444495463</c:v>
                </c:pt>
                <c:pt idx="182" formatCode="0">
                  <c:v>6.6080611999093808</c:v>
                </c:pt>
                <c:pt idx="183" formatCode="0">
                  <c:v>6.6396561331427275</c:v>
                </c:pt>
                <c:pt idx="184" formatCode="0">
                  <c:v>6.6713801551729732</c:v>
                </c:pt>
                <c:pt idx="185" formatCode="0">
                  <c:v>6.7032323893750352</c:v>
                </c:pt>
                <c:pt idx="186" formatCode="0">
                  <c:v>6.7352119713342482</c:v>
                </c:pt>
              </c:numCache>
            </c:numRef>
          </c:val>
          <c:smooth val="0"/>
          <c:extLst>
            <c:ext xmlns:c16="http://schemas.microsoft.com/office/drawing/2014/chart" uri="{C3380CC4-5D6E-409C-BE32-E72D297353CC}">
              <c16:uniqueId val="{00000003-159F-4639-BA13-A78AB676EDF7}"/>
            </c:ext>
          </c:extLst>
        </c:ser>
        <c:dLbls>
          <c:showLegendKey val="0"/>
          <c:showVal val="0"/>
          <c:showCatName val="0"/>
          <c:showSerName val="0"/>
          <c:showPercent val="0"/>
          <c:showBubbleSize val="0"/>
        </c:dLbls>
        <c:smooth val="0"/>
        <c:axId val="67749184"/>
        <c:axId val="67759744"/>
      </c:lineChart>
      <c:catAx>
        <c:axId val="67749184"/>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59744"/>
        <c:crosses val="autoZero"/>
        <c:auto val="1"/>
        <c:lblAlgn val="ctr"/>
        <c:lblOffset val="100"/>
        <c:noMultiLvlLbl val="0"/>
      </c:catAx>
      <c:valAx>
        <c:axId val="67759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F.xlsx]Department Vs No of Employee!PivotTable1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 Vs No. of 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70838160155351E-2"/>
          <c:y val="0.37355778773906578"/>
          <c:w val="0.87573157832882831"/>
          <c:h val="0.54318215959972005"/>
        </c:manualLayout>
      </c:layout>
      <c:barChart>
        <c:barDir val="col"/>
        <c:grouping val="clustered"/>
        <c:varyColors val="0"/>
        <c:ser>
          <c:idx val="0"/>
          <c:order val="0"/>
          <c:tx>
            <c:strRef>
              <c:f>'Department Vs No of Employee'!$B$1</c:f>
              <c:strCache>
                <c:ptCount val="1"/>
                <c:pt idx="0">
                  <c:v>Total</c:v>
                </c:pt>
              </c:strCache>
            </c:strRef>
          </c:tx>
          <c:spPr>
            <a:solidFill>
              <a:schemeClr val="accent1"/>
            </a:solidFill>
            <a:ln>
              <a:noFill/>
            </a:ln>
            <a:effectLst/>
          </c:spPr>
          <c:invertIfNegative val="0"/>
          <c:cat>
            <c:strRef>
              <c:f>'Department Vs No of Employee'!$A$2:$A$7</c:f>
              <c:strCache>
                <c:ptCount val="5"/>
                <c:pt idx="0">
                  <c:v>Finance</c:v>
                </c:pt>
                <c:pt idx="1">
                  <c:v>HR</c:v>
                </c:pt>
                <c:pt idx="2">
                  <c:v>IT</c:v>
                </c:pt>
                <c:pt idx="3">
                  <c:v>Marketing</c:v>
                </c:pt>
                <c:pt idx="4">
                  <c:v>Sales</c:v>
                </c:pt>
              </c:strCache>
            </c:strRef>
          </c:cat>
          <c:val>
            <c:numRef>
              <c:f>'Department Vs No of Employee'!$B$2:$B$7</c:f>
              <c:numCache>
                <c:formatCode>General</c:formatCode>
                <c:ptCount val="5"/>
                <c:pt idx="0">
                  <c:v>22</c:v>
                </c:pt>
                <c:pt idx="1">
                  <c:v>24</c:v>
                </c:pt>
                <c:pt idx="2">
                  <c:v>25</c:v>
                </c:pt>
                <c:pt idx="3">
                  <c:v>53</c:v>
                </c:pt>
                <c:pt idx="4">
                  <c:v>26</c:v>
                </c:pt>
              </c:numCache>
            </c:numRef>
          </c:val>
          <c:extLst>
            <c:ext xmlns:c16="http://schemas.microsoft.com/office/drawing/2014/chart" uri="{C3380CC4-5D6E-409C-BE32-E72D297353CC}">
              <c16:uniqueId val="{00000000-B6F1-44A4-95AA-484E33292BCE}"/>
            </c:ext>
          </c:extLst>
        </c:ser>
        <c:dLbls>
          <c:showLegendKey val="0"/>
          <c:showVal val="0"/>
          <c:showCatName val="0"/>
          <c:showSerName val="0"/>
          <c:showPercent val="0"/>
          <c:showBubbleSize val="0"/>
        </c:dLbls>
        <c:gapWidth val="219"/>
        <c:overlap val="-27"/>
        <c:axId val="1616435231"/>
        <c:axId val="1616428511"/>
      </c:barChart>
      <c:catAx>
        <c:axId val="16164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28511"/>
        <c:crosses val="autoZero"/>
        <c:auto val="1"/>
        <c:lblAlgn val="ctr"/>
        <c:lblOffset val="100"/>
        <c:noMultiLvlLbl val="0"/>
      </c:catAx>
      <c:valAx>
        <c:axId val="161642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43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F.xlsx]Gender Vs Employee!PivotTable2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a:t>
            </a:r>
            <a:r>
              <a:rPr lang="en-US" baseline="0"/>
              <a:t> Vs Count of Employee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509803921568627E-2"/>
          <c:y val="0.2812711431904345"/>
          <c:w val="0.71771129711727211"/>
          <c:h val="0.66317330125400986"/>
        </c:manualLayout>
      </c:layout>
      <c:pie3DChart>
        <c:varyColors val="1"/>
        <c:ser>
          <c:idx val="0"/>
          <c:order val="0"/>
          <c:tx>
            <c:strRef>
              <c:f>'Gender Vs Employee'!$B$2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BC1-4D98-BA48-5A088D78AD2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BC1-4D98-BA48-5A088D78AD20}"/>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BC1-4D98-BA48-5A088D78AD20}"/>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BC1-4D98-BA48-5A088D78AD2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'Gender Vs Employee'!$A$3:$A$7</c:f>
              <c:strCache>
                <c:ptCount val="4"/>
                <c:pt idx="0">
                  <c:v>Female</c:v>
                </c:pt>
                <c:pt idx="1">
                  <c:v>Male</c:v>
                </c:pt>
                <c:pt idx="2">
                  <c:v>Other</c:v>
                </c:pt>
                <c:pt idx="3">
                  <c:v>Unknown</c:v>
                </c:pt>
              </c:strCache>
            </c:strRef>
          </c:cat>
          <c:val>
            <c:numRef>
              <c:f>'Gender Vs Employee'!$B$3:$B$7</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8-CBC1-4D98-BA48-5A088D78AD20}"/>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F.xlsx]Rating Vs Dept!PivotTable3</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r>
              <a:rPr lang="en-IN" baseline="0"/>
              <a:t> No.1 Employees Vs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'Rating Vs Dept'!$B$1:$B$2</c:f>
              <c:strCache>
                <c:ptCount val="1"/>
                <c:pt idx="0">
                  <c:v>Finance</c:v>
                </c:pt>
              </c:strCache>
            </c:strRef>
          </c:tx>
          <c:spPr>
            <a:solidFill>
              <a:schemeClr val="accent1"/>
            </a:solidFill>
            <a:ln>
              <a:noFill/>
            </a:ln>
            <a:effectLst/>
            <a:sp3d/>
          </c:spPr>
          <c:invertIfNegative val="0"/>
          <c:cat>
            <c:strRef>
              <c:f>'Rating Vs Dept'!$A$3:$A$4</c:f>
              <c:strCache>
                <c:ptCount val="1"/>
                <c:pt idx="0">
                  <c:v>1</c:v>
                </c:pt>
              </c:strCache>
            </c:strRef>
          </c:cat>
          <c:val>
            <c:numRef>
              <c:f>'Rating Vs Dept'!$B$3:$B$4</c:f>
              <c:numCache>
                <c:formatCode>General</c:formatCode>
                <c:ptCount val="1"/>
                <c:pt idx="0">
                  <c:v>6</c:v>
                </c:pt>
              </c:numCache>
            </c:numRef>
          </c:val>
          <c:extLst>
            <c:ext xmlns:c16="http://schemas.microsoft.com/office/drawing/2014/chart" uri="{C3380CC4-5D6E-409C-BE32-E72D297353CC}">
              <c16:uniqueId val="{00000000-ABD7-494F-B2C5-4B8D1285B49C}"/>
            </c:ext>
          </c:extLst>
        </c:ser>
        <c:ser>
          <c:idx val="1"/>
          <c:order val="1"/>
          <c:tx>
            <c:strRef>
              <c:f>'Rating Vs Dept'!$C$1:$C$2</c:f>
              <c:strCache>
                <c:ptCount val="1"/>
                <c:pt idx="0">
                  <c:v>HR</c:v>
                </c:pt>
              </c:strCache>
            </c:strRef>
          </c:tx>
          <c:spPr>
            <a:solidFill>
              <a:schemeClr val="accent2"/>
            </a:solidFill>
            <a:ln>
              <a:noFill/>
            </a:ln>
            <a:effectLst/>
            <a:sp3d/>
          </c:spPr>
          <c:invertIfNegative val="0"/>
          <c:cat>
            <c:strRef>
              <c:f>'Rating Vs Dept'!$A$3:$A$4</c:f>
              <c:strCache>
                <c:ptCount val="1"/>
                <c:pt idx="0">
                  <c:v>1</c:v>
                </c:pt>
              </c:strCache>
            </c:strRef>
          </c:cat>
          <c:val>
            <c:numRef>
              <c:f>'Rating Vs Dept'!$C$3:$C$4</c:f>
              <c:numCache>
                <c:formatCode>General</c:formatCode>
                <c:ptCount val="1"/>
                <c:pt idx="0">
                  <c:v>4</c:v>
                </c:pt>
              </c:numCache>
            </c:numRef>
          </c:val>
          <c:extLst>
            <c:ext xmlns:c16="http://schemas.microsoft.com/office/drawing/2014/chart" uri="{C3380CC4-5D6E-409C-BE32-E72D297353CC}">
              <c16:uniqueId val="{00000006-ABD7-494F-B2C5-4B8D1285B49C}"/>
            </c:ext>
          </c:extLst>
        </c:ser>
        <c:ser>
          <c:idx val="2"/>
          <c:order val="2"/>
          <c:tx>
            <c:strRef>
              <c:f>'Rating Vs Dept'!$D$1:$D$2</c:f>
              <c:strCache>
                <c:ptCount val="1"/>
                <c:pt idx="0">
                  <c:v>IT</c:v>
                </c:pt>
              </c:strCache>
            </c:strRef>
          </c:tx>
          <c:spPr>
            <a:solidFill>
              <a:schemeClr val="accent3"/>
            </a:solidFill>
            <a:ln>
              <a:noFill/>
            </a:ln>
            <a:effectLst/>
            <a:sp3d/>
          </c:spPr>
          <c:invertIfNegative val="0"/>
          <c:cat>
            <c:strRef>
              <c:f>'Rating Vs Dept'!$A$3:$A$4</c:f>
              <c:strCache>
                <c:ptCount val="1"/>
                <c:pt idx="0">
                  <c:v>1</c:v>
                </c:pt>
              </c:strCache>
            </c:strRef>
          </c:cat>
          <c:val>
            <c:numRef>
              <c:f>'Rating Vs Dept'!$D$3:$D$4</c:f>
              <c:numCache>
                <c:formatCode>General</c:formatCode>
                <c:ptCount val="1"/>
                <c:pt idx="0">
                  <c:v>5</c:v>
                </c:pt>
              </c:numCache>
            </c:numRef>
          </c:val>
          <c:extLst>
            <c:ext xmlns:c16="http://schemas.microsoft.com/office/drawing/2014/chart" uri="{C3380CC4-5D6E-409C-BE32-E72D297353CC}">
              <c16:uniqueId val="{00000007-ABD7-494F-B2C5-4B8D1285B49C}"/>
            </c:ext>
          </c:extLst>
        </c:ser>
        <c:ser>
          <c:idx val="3"/>
          <c:order val="3"/>
          <c:tx>
            <c:strRef>
              <c:f>'Rating Vs Dept'!$E$1:$E$2</c:f>
              <c:strCache>
                <c:ptCount val="1"/>
                <c:pt idx="0">
                  <c:v>Marketing</c:v>
                </c:pt>
              </c:strCache>
            </c:strRef>
          </c:tx>
          <c:spPr>
            <a:solidFill>
              <a:schemeClr val="accent4"/>
            </a:solidFill>
            <a:ln>
              <a:noFill/>
            </a:ln>
            <a:effectLst/>
            <a:sp3d/>
          </c:spPr>
          <c:invertIfNegative val="0"/>
          <c:cat>
            <c:strRef>
              <c:f>'Rating Vs Dept'!$A$3:$A$4</c:f>
              <c:strCache>
                <c:ptCount val="1"/>
                <c:pt idx="0">
                  <c:v>1</c:v>
                </c:pt>
              </c:strCache>
            </c:strRef>
          </c:cat>
          <c:val>
            <c:numRef>
              <c:f>'Rating Vs Dept'!$E$3:$E$4</c:f>
              <c:numCache>
                <c:formatCode>General</c:formatCode>
                <c:ptCount val="1"/>
                <c:pt idx="0">
                  <c:v>9</c:v>
                </c:pt>
              </c:numCache>
            </c:numRef>
          </c:val>
          <c:extLst>
            <c:ext xmlns:c16="http://schemas.microsoft.com/office/drawing/2014/chart" uri="{C3380CC4-5D6E-409C-BE32-E72D297353CC}">
              <c16:uniqueId val="{0000000A-ABD7-494F-B2C5-4B8D1285B49C}"/>
            </c:ext>
          </c:extLst>
        </c:ser>
        <c:ser>
          <c:idx val="4"/>
          <c:order val="4"/>
          <c:tx>
            <c:strRef>
              <c:f>'Rating Vs Dept'!$F$1:$F$2</c:f>
              <c:strCache>
                <c:ptCount val="1"/>
                <c:pt idx="0">
                  <c:v>Sales</c:v>
                </c:pt>
              </c:strCache>
            </c:strRef>
          </c:tx>
          <c:spPr>
            <a:solidFill>
              <a:schemeClr val="accent5"/>
            </a:solidFill>
            <a:ln>
              <a:noFill/>
            </a:ln>
            <a:effectLst/>
            <a:sp3d/>
          </c:spPr>
          <c:invertIfNegative val="0"/>
          <c:cat>
            <c:strRef>
              <c:f>'Rating Vs Dept'!$A$3:$A$4</c:f>
              <c:strCache>
                <c:ptCount val="1"/>
                <c:pt idx="0">
                  <c:v>1</c:v>
                </c:pt>
              </c:strCache>
            </c:strRef>
          </c:cat>
          <c:val>
            <c:numRef>
              <c:f>'Rating Vs Dept'!$F$3:$F$4</c:f>
              <c:numCache>
                <c:formatCode>General</c:formatCode>
                <c:ptCount val="1"/>
                <c:pt idx="0">
                  <c:v>6</c:v>
                </c:pt>
              </c:numCache>
            </c:numRef>
          </c:val>
          <c:extLst>
            <c:ext xmlns:c16="http://schemas.microsoft.com/office/drawing/2014/chart" uri="{C3380CC4-5D6E-409C-BE32-E72D297353CC}">
              <c16:uniqueId val="{0000000B-ABD7-494F-B2C5-4B8D1285B49C}"/>
            </c:ext>
          </c:extLst>
        </c:ser>
        <c:dLbls>
          <c:showLegendKey val="0"/>
          <c:showVal val="0"/>
          <c:showCatName val="0"/>
          <c:showSerName val="0"/>
          <c:showPercent val="0"/>
          <c:showBubbleSize val="0"/>
        </c:dLbls>
        <c:gapWidth val="150"/>
        <c:shape val="box"/>
        <c:axId val="55709280"/>
        <c:axId val="55708800"/>
        <c:axId val="0"/>
      </c:bar3DChart>
      <c:catAx>
        <c:axId val="5570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8800"/>
        <c:crosses val="autoZero"/>
        <c:auto val="1"/>
        <c:lblAlgn val="ctr"/>
        <c:lblOffset val="100"/>
        <c:noMultiLvlLbl val="0"/>
      </c:catAx>
      <c:valAx>
        <c:axId val="5570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0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F.xlsx]Country Vs Dept Vs Salary!PivotTable2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Vs Dept Vs Salary'!$B$1:$B$2</c:f>
              <c:strCache>
                <c:ptCount val="1"/>
                <c:pt idx="0">
                  <c:v>Finance</c:v>
                </c:pt>
              </c:strCache>
            </c:strRef>
          </c:tx>
          <c:spPr>
            <a:solidFill>
              <a:schemeClr val="accent1"/>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Salary'!$B$3:$B$9</c:f>
              <c:numCache>
                <c:formatCode>General</c:formatCode>
                <c:ptCount val="6"/>
                <c:pt idx="0">
                  <c:v>137442</c:v>
                </c:pt>
                <c:pt idx="1">
                  <c:v>63184</c:v>
                </c:pt>
                <c:pt idx="2">
                  <c:v>287562</c:v>
                </c:pt>
                <c:pt idx="3">
                  <c:v>278949</c:v>
                </c:pt>
                <c:pt idx="4">
                  <c:v>430591</c:v>
                </c:pt>
                <c:pt idx="5">
                  <c:v>246925</c:v>
                </c:pt>
              </c:numCache>
            </c:numRef>
          </c:val>
          <c:extLst>
            <c:ext xmlns:c16="http://schemas.microsoft.com/office/drawing/2014/chart" uri="{C3380CC4-5D6E-409C-BE32-E72D297353CC}">
              <c16:uniqueId val="{00000000-47C1-4C4A-8A50-2AAD12E6FEEA}"/>
            </c:ext>
          </c:extLst>
        </c:ser>
        <c:ser>
          <c:idx val="1"/>
          <c:order val="1"/>
          <c:tx>
            <c:strRef>
              <c:f>'Country Vs Dept Vs Salary'!$C$1:$C$2</c:f>
              <c:strCache>
                <c:ptCount val="1"/>
                <c:pt idx="0">
                  <c:v>HR</c:v>
                </c:pt>
              </c:strCache>
            </c:strRef>
          </c:tx>
          <c:spPr>
            <a:solidFill>
              <a:schemeClr val="accent2"/>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Salary'!$C$3:$C$9</c:f>
              <c:numCache>
                <c:formatCode>General</c:formatCode>
                <c:ptCount val="6"/>
                <c:pt idx="0">
                  <c:v>69420</c:v>
                </c:pt>
                <c:pt idx="1">
                  <c:v>635075</c:v>
                </c:pt>
                <c:pt idx="2">
                  <c:v>58245</c:v>
                </c:pt>
                <c:pt idx="3">
                  <c:v>277315</c:v>
                </c:pt>
                <c:pt idx="4">
                  <c:v>444921</c:v>
                </c:pt>
                <c:pt idx="5">
                  <c:v>141500</c:v>
                </c:pt>
              </c:numCache>
            </c:numRef>
          </c:val>
          <c:extLst>
            <c:ext xmlns:c16="http://schemas.microsoft.com/office/drawing/2014/chart" uri="{C3380CC4-5D6E-409C-BE32-E72D297353CC}">
              <c16:uniqueId val="{00000006-47C1-4C4A-8A50-2AAD12E6FEEA}"/>
            </c:ext>
          </c:extLst>
        </c:ser>
        <c:ser>
          <c:idx val="2"/>
          <c:order val="2"/>
          <c:tx>
            <c:strRef>
              <c:f>'Country Vs Dept Vs Salary'!$D$1:$D$2</c:f>
              <c:strCache>
                <c:ptCount val="1"/>
                <c:pt idx="0">
                  <c:v>IT</c:v>
                </c:pt>
              </c:strCache>
            </c:strRef>
          </c:tx>
          <c:spPr>
            <a:solidFill>
              <a:schemeClr val="accent3"/>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Salary'!$D$3:$D$9</c:f>
              <c:numCache>
                <c:formatCode>General</c:formatCode>
                <c:ptCount val="6"/>
                <c:pt idx="0">
                  <c:v>70470</c:v>
                </c:pt>
                <c:pt idx="1">
                  <c:v>291041</c:v>
                </c:pt>
                <c:pt idx="2">
                  <c:v>416649</c:v>
                </c:pt>
                <c:pt idx="3">
                  <c:v>220971</c:v>
                </c:pt>
                <c:pt idx="4">
                  <c:v>325729</c:v>
                </c:pt>
                <c:pt idx="5">
                  <c:v>329201</c:v>
                </c:pt>
              </c:numCache>
            </c:numRef>
          </c:val>
          <c:extLst>
            <c:ext xmlns:c16="http://schemas.microsoft.com/office/drawing/2014/chart" uri="{C3380CC4-5D6E-409C-BE32-E72D297353CC}">
              <c16:uniqueId val="{00000007-47C1-4C4A-8A50-2AAD12E6FEEA}"/>
            </c:ext>
          </c:extLst>
        </c:ser>
        <c:ser>
          <c:idx val="3"/>
          <c:order val="3"/>
          <c:tx>
            <c:strRef>
              <c:f>'Country Vs Dept Vs Salary'!$E$1:$E$2</c:f>
              <c:strCache>
                <c:ptCount val="1"/>
                <c:pt idx="0">
                  <c:v>Marketing</c:v>
                </c:pt>
              </c:strCache>
            </c:strRef>
          </c:tx>
          <c:spPr>
            <a:solidFill>
              <a:schemeClr val="accent4"/>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Salary'!$E$3:$E$9</c:f>
              <c:numCache>
                <c:formatCode>General</c:formatCode>
                <c:ptCount val="6"/>
                <c:pt idx="0">
                  <c:v>538488</c:v>
                </c:pt>
                <c:pt idx="1">
                  <c:v>334048</c:v>
                </c:pt>
                <c:pt idx="2">
                  <c:v>643914</c:v>
                </c:pt>
                <c:pt idx="3">
                  <c:v>684771</c:v>
                </c:pt>
                <c:pt idx="4">
                  <c:v>725617</c:v>
                </c:pt>
                <c:pt idx="5">
                  <c:v>525604</c:v>
                </c:pt>
              </c:numCache>
            </c:numRef>
          </c:val>
          <c:extLst>
            <c:ext xmlns:c16="http://schemas.microsoft.com/office/drawing/2014/chart" uri="{C3380CC4-5D6E-409C-BE32-E72D297353CC}">
              <c16:uniqueId val="{00000008-47C1-4C4A-8A50-2AAD12E6FEEA}"/>
            </c:ext>
          </c:extLst>
        </c:ser>
        <c:ser>
          <c:idx val="4"/>
          <c:order val="4"/>
          <c:tx>
            <c:strRef>
              <c:f>'Country Vs Dept Vs Salary'!$F$1:$F$2</c:f>
              <c:strCache>
                <c:ptCount val="1"/>
                <c:pt idx="0">
                  <c:v>Sales</c:v>
                </c:pt>
              </c:strCache>
            </c:strRef>
          </c:tx>
          <c:spPr>
            <a:solidFill>
              <a:schemeClr val="accent5"/>
            </a:solidFill>
            <a:ln>
              <a:noFill/>
            </a:ln>
            <a:effectLst/>
          </c:spPr>
          <c:invertIfNegative val="0"/>
          <c:cat>
            <c:strRef>
              <c:f>'Country Vs Dept Vs Salary'!$A$3:$A$9</c:f>
              <c:strCache>
                <c:ptCount val="6"/>
                <c:pt idx="0">
                  <c:v>Australia</c:v>
                </c:pt>
                <c:pt idx="1">
                  <c:v>Germany</c:v>
                </c:pt>
                <c:pt idx="2">
                  <c:v>India</c:v>
                </c:pt>
                <c:pt idx="3">
                  <c:v>UK</c:v>
                </c:pt>
                <c:pt idx="4">
                  <c:v>Unknown</c:v>
                </c:pt>
                <c:pt idx="5">
                  <c:v>USA</c:v>
                </c:pt>
              </c:strCache>
            </c:strRef>
          </c:cat>
          <c:val>
            <c:numRef>
              <c:f>'Country Vs Dept Vs Salary'!$F$3:$F$9</c:f>
              <c:numCache>
                <c:formatCode>General</c:formatCode>
                <c:ptCount val="6"/>
                <c:pt idx="0">
                  <c:v>354767</c:v>
                </c:pt>
                <c:pt idx="1">
                  <c:v>192674</c:v>
                </c:pt>
                <c:pt idx="2">
                  <c:v>466701</c:v>
                </c:pt>
                <c:pt idx="3">
                  <c:v>91620</c:v>
                </c:pt>
                <c:pt idx="4">
                  <c:v>260281</c:v>
                </c:pt>
                <c:pt idx="5">
                  <c:v>398465</c:v>
                </c:pt>
              </c:numCache>
            </c:numRef>
          </c:val>
          <c:extLst>
            <c:ext xmlns:c16="http://schemas.microsoft.com/office/drawing/2014/chart" uri="{C3380CC4-5D6E-409C-BE32-E72D297353CC}">
              <c16:uniqueId val="{00000009-47C1-4C4A-8A50-2AAD12E6FEEA}"/>
            </c:ext>
          </c:extLst>
        </c:ser>
        <c:dLbls>
          <c:showLegendKey val="0"/>
          <c:showVal val="0"/>
          <c:showCatName val="0"/>
          <c:showSerName val="0"/>
          <c:showPercent val="0"/>
          <c:showBubbleSize val="0"/>
        </c:dLbls>
        <c:gapWidth val="219"/>
        <c:overlap val="-27"/>
        <c:axId val="1405430079"/>
        <c:axId val="67877008"/>
      </c:barChart>
      <c:catAx>
        <c:axId val="140543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77008"/>
        <c:crosses val="autoZero"/>
        <c:auto val="1"/>
        <c:lblAlgn val="ctr"/>
        <c:lblOffset val="100"/>
        <c:noMultiLvlLbl val="0"/>
      </c:catAx>
      <c:valAx>
        <c:axId val="6787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43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F.xlsx]Year of Joining Vs Rating!PivotTable1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of Joining Vs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of Joining Vs Rating'!$B$3:$B$4</c:f>
              <c:strCache>
                <c:ptCount val="1"/>
                <c:pt idx="0">
                  <c:v>1</c:v>
                </c:pt>
              </c:strCache>
            </c:strRef>
          </c:tx>
          <c:spPr>
            <a:solidFill>
              <a:schemeClr val="accent1"/>
            </a:solidFill>
            <a:ln>
              <a:noFill/>
            </a:ln>
            <a:effectLst/>
          </c:spPr>
          <c:invertIfNegative val="0"/>
          <c:cat>
            <c:strRef>
              <c:f>'Year of Joining Vs Rating'!$A$5:$A$8</c:f>
              <c:strCache>
                <c:ptCount val="3"/>
                <c:pt idx="0">
                  <c:v>2015</c:v>
                </c:pt>
                <c:pt idx="1">
                  <c:v>2016</c:v>
                </c:pt>
                <c:pt idx="2">
                  <c:v>2017</c:v>
                </c:pt>
              </c:strCache>
            </c:strRef>
          </c:cat>
          <c:val>
            <c:numRef>
              <c:f>'Year of Joining Vs Rating'!$B$5:$B$8</c:f>
              <c:numCache>
                <c:formatCode>General</c:formatCode>
                <c:ptCount val="3"/>
                <c:pt idx="0">
                  <c:v>9</c:v>
                </c:pt>
                <c:pt idx="1">
                  <c:v>11</c:v>
                </c:pt>
                <c:pt idx="2">
                  <c:v>10</c:v>
                </c:pt>
              </c:numCache>
            </c:numRef>
          </c:val>
          <c:extLst>
            <c:ext xmlns:c16="http://schemas.microsoft.com/office/drawing/2014/chart" uri="{C3380CC4-5D6E-409C-BE32-E72D297353CC}">
              <c16:uniqueId val="{00000000-2084-4251-8BD4-2F0F0E7A5C5F}"/>
            </c:ext>
          </c:extLst>
        </c:ser>
        <c:ser>
          <c:idx val="1"/>
          <c:order val="1"/>
          <c:tx>
            <c:strRef>
              <c:f>'Year of Joining Vs Rating'!$C$3:$C$4</c:f>
              <c:strCache>
                <c:ptCount val="1"/>
                <c:pt idx="0">
                  <c:v>2</c:v>
                </c:pt>
              </c:strCache>
            </c:strRef>
          </c:tx>
          <c:spPr>
            <a:solidFill>
              <a:schemeClr val="accent2"/>
            </a:solidFill>
            <a:ln>
              <a:noFill/>
            </a:ln>
            <a:effectLst/>
          </c:spPr>
          <c:invertIfNegative val="0"/>
          <c:cat>
            <c:strRef>
              <c:f>'Year of Joining Vs Rating'!$A$5:$A$8</c:f>
              <c:strCache>
                <c:ptCount val="3"/>
                <c:pt idx="0">
                  <c:v>2015</c:v>
                </c:pt>
                <c:pt idx="1">
                  <c:v>2016</c:v>
                </c:pt>
                <c:pt idx="2">
                  <c:v>2017</c:v>
                </c:pt>
              </c:strCache>
            </c:strRef>
          </c:cat>
          <c:val>
            <c:numRef>
              <c:f>'Year of Joining Vs Rating'!$C$5:$C$8</c:f>
              <c:numCache>
                <c:formatCode>General</c:formatCode>
                <c:ptCount val="3"/>
                <c:pt idx="0">
                  <c:v>11</c:v>
                </c:pt>
                <c:pt idx="1">
                  <c:v>6</c:v>
                </c:pt>
                <c:pt idx="2">
                  <c:v>6</c:v>
                </c:pt>
              </c:numCache>
            </c:numRef>
          </c:val>
          <c:extLst>
            <c:ext xmlns:c16="http://schemas.microsoft.com/office/drawing/2014/chart" uri="{C3380CC4-5D6E-409C-BE32-E72D297353CC}">
              <c16:uniqueId val="{00000001-2084-4251-8BD4-2F0F0E7A5C5F}"/>
            </c:ext>
          </c:extLst>
        </c:ser>
        <c:ser>
          <c:idx val="2"/>
          <c:order val="2"/>
          <c:tx>
            <c:strRef>
              <c:f>'Year of Joining Vs Rating'!$D$3:$D$4</c:f>
              <c:strCache>
                <c:ptCount val="1"/>
                <c:pt idx="0">
                  <c:v>3</c:v>
                </c:pt>
              </c:strCache>
            </c:strRef>
          </c:tx>
          <c:spPr>
            <a:solidFill>
              <a:schemeClr val="accent3"/>
            </a:solidFill>
            <a:ln>
              <a:noFill/>
            </a:ln>
            <a:effectLst/>
          </c:spPr>
          <c:invertIfNegative val="0"/>
          <c:cat>
            <c:strRef>
              <c:f>'Year of Joining Vs Rating'!$A$5:$A$8</c:f>
              <c:strCache>
                <c:ptCount val="3"/>
                <c:pt idx="0">
                  <c:v>2015</c:v>
                </c:pt>
                <c:pt idx="1">
                  <c:v>2016</c:v>
                </c:pt>
                <c:pt idx="2">
                  <c:v>2017</c:v>
                </c:pt>
              </c:strCache>
            </c:strRef>
          </c:cat>
          <c:val>
            <c:numRef>
              <c:f>'Year of Joining Vs Rating'!$D$5:$D$8</c:f>
              <c:numCache>
                <c:formatCode>General</c:formatCode>
                <c:ptCount val="3"/>
                <c:pt idx="0">
                  <c:v>22</c:v>
                </c:pt>
                <c:pt idx="1">
                  <c:v>18</c:v>
                </c:pt>
                <c:pt idx="2">
                  <c:v>15</c:v>
                </c:pt>
              </c:numCache>
            </c:numRef>
          </c:val>
          <c:extLst>
            <c:ext xmlns:c16="http://schemas.microsoft.com/office/drawing/2014/chart" uri="{C3380CC4-5D6E-409C-BE32-E72D297353CC}">
              <c16:uniqueId val="{00000002-2084-4251-8BD4-2F0F0E7A5C5F}"/>
            </c:ext>
          </c:extLst>
        </c:ser>
        <c:ser>
          <c:idx val="3"/>
          <c:order val="3"/>
          <c:tx>
            <c:strRef>
              <c:f>'Year of Joining Vs Rating'!$E$3:$E$4</c:f>
              <c:strCache>
                <c:ptCount val="1"/>
                <c:pt idx="0">
                  <c:v>4</c:v>
                </c:pt>
              </c:strCache>
            </c:strRef>
          </c:tx>
          <c:spPr>
            <a:solidFill>
              <a:schemeClr val="accent4"/>
            </a:solidFill>
            <a:ln>
              <a:noFill/>
            </a:ln>
            <a:effectLst/>
          </c:spPr>
          <c:invertIfNegative val="0"/>
          <c:cat>
            <c:strRef>
              <c:f>'Year of Joining Vs Rating'!$A$5:$A$8</c:f>
              <c:strCache>
                <c:ptCount val="3"/>
                <c:pt idx="0">
                  <c:v>2015</c:v>
                </c:pt>
                <c:pt idx="1">
                  <c:v>2016</c:v>
                </c:pt>
                <c:pt idx="2">
                  <c:v>2017</c:v>
                </c:pt>
              </c:strCache>
            </c:strRef>
          </c:cat>
          <c:val>
            <c:numRef>
              <c:f>'Year of Joining Vs Rating'!$E$5:$E$8</c:f>
              <c:numCache>
                <c:formatCode>General</c:formatCode>
                <c:ptCount val="3"/>
                <c:pt idx="0">
                  <c:v>5</c:v>
                </c:pt>
                <c:pt idx="1">
                  <c:v>7</c:v>
                </c:pt>
                <c:pt idx="2">
                  <c:v>5</c:v>
                </c:pt>
              </c:numCache>
            </c:numRef>
          </c:val>
          <c:extLst>
            <c:ext xmlns:c16="http://schemas.microsoft.com/office/drawing/2014/chart" uri="{C3380CC4-5D6E-409C-BE32-E72D297353CC}">
              <c16:uniqueId val="{00000003-2084-4251-8BD4-2F0F0E7A5C5F}"/>
            </c:ext>
          </c:extLst>
        </c:ser>
        <c:ser>
          <c:idx val="4"/>
          <c:order val="4"/>
          <c:tx>
            <c:strRef>
              <c:f>'Year of Joining Vs Rating'!$F$3:$F$4</c:f>
              <c:strCache>
                <c:ptCount val="1"/>
                <c:pt idx="0">
                  <c:v>5</c:v>
                </c:pt>
              </c:strCache>
            </c:strRef>
          </c:tx>
          <c:spPr>
            <a:solidFill>
              <a:schemeClr val="accent5"/>
            </a:solidFill>
            <a:ln>
              <a:noFill/>
            </a:ln>
            <a:effectLst/>
          </c:spPr>
          <c:invertIfNegative val="0"/>
          <c:cat>
            <c:strRef>
              <c:f>'Year of Joining Vs Rating'!$A$5:$A$8</c:f>
              <c:strCache>
                <c:ptCount val="3"/>
                <c:pt idx="0">
                  <c:v>2015</c:v>
                </c:pt>
                <c:pt idx="1">
                  <c:v>2016</c:v>
                </c:pt>
                <c:pt idx="2">
                  <c:v>2017</c:v>
                </c:pt>
              </c:strCache>
            </c:strRef>
          </c:cat>
          <c:val>
            <c:numRef>
              <c:f>'Year of Joining Vs Rating'!$F$5:$F$8</c:f>
              <c:numCache>
                <c:formatCode>General</c:formatCode>
                <c:ptCount val="3"/>
                <c:pt idx="0">
                  <c:v>10</c:v>
                </c:pt>
                <c:pt idx="1">
                  <c:v>8</c:v>
                </c:pt>
                <c:pt idx="2">
                  <c:v>7</c:v>
                </c:pt>
              </c:numCache>
            </c:numRef>
          </c:val>
          <c:extLst>
            <c:ext xmlns:c16="http://schemas.microsoft.com/office/drawing/2014/chart" uri="{C3380CC4-5D6E-409C-BE32-E72D297353CC}">
              <c16:uniqueId val="{00000004-2084-4251-8BD4-2F0F0E7A5C5F}"/>
            </c:ext>
          </c:extLst>
        </c:ser>
        <c:dLbls>
          <c:showLegendKey val="0"/>
          <c:showVal val="0"/>
          <c:showCatName val="0"/>
          <c:showSerName val="0"/>
          <c:showPercent val="0"/>
          <c:showBubbleSize val="0"/>
        </c:dLbls>
        <c:gapWidth val="219"/>
        <c:overlap val="-27"/>
        <c:axId val="1402223791"/>
        <c:axId val="1402224271"/>
      </c:barChart>
      <c:catAx>
        <c:axId val="140222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4271"/>
        <c:crosses val="autoZero"/>
        <c:auto val="1"/>
        <c:lblAlgn val="ctr"/>
        <c:lblOffset val="100"/>
        <c:noMultiLvlLbl val="0"/>
      </c:catAx>
      <c:valAx>
        <c:axId val="140222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F.xlsx]Salary Range Vs Dept!PivotTable3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 Range Vs</a:t>
            </a:r>
            <a:r>
              <a:rPr lang="en-IN" baseline="0"/>
              <a:t>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'Salary Range Vs Dept'!$B$1:$B$2</c:f>
              <c:strCache>
                <c:ptCount val="1"/>
                <c:pt idx="0">
                  <c:v>Finance</c:v>
                </c:pt>
              </c:strCache>
            </c:strRef>
          </c:tx>
          <c:spPr>
            <a:solidFill>
              <a:schemeClr val="accent1"/>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Dept'!$B$3:$B$6</c:f>
              <c:numCache>
                <c:formatCode>General</c:formatCode>
                <c:ptCount val="3"/>
                <c:pt idx="0">
                  <c:v>8</c:v>
                </c:pt>
                <c:pt idx="1">
                  <c:v>6</c:v>
                </c:pt>
                <c:pt idx="2">
                  <c:v>8</c:v>
                </c:pt>
              </c:numCache>
            </c:numRef>
          </c:val>
          <c:extLst>
            <c:ext xmlns:c16="http://schemas.microsoft.com/office/drawing/2014/chart" uri="{C3380CC4-5D6E-409C-BE32-E72D297353CC}">
              <c16:uniqueId val="{00000000-C6E4-4034-909F-6F4527360023}"/>
            </c:ext>
          </c:extLst>
        </c:ser>
        <c:ser>
          <c:idx val="1"/>
          <c:order val="1"/>
          <c:tx>
            <c:strRef>
              <c:f>'Salary Range Vs Dept'!$C$1:$C$2</c:f>
              <c:strCache>
                <c:ptCount val="1"/>
                <c:pt idx="0">
                  <c:v>HR</c:v>
                </c:pt>
              </c:strCache>
            </c:strRef>
          </c:tx>
          <c:spPr>
            <a:solidFill>
              <a:schemeClr val="accent2"/>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Dept'!$C$3:$C$6</c:f>
              <c:numCache>
                <c:formatCode>General</c:formatCode>
                <c:ptCount val="3"/>
                <c:pt idx="0">
                  <c:v>9</c:v>
                </c:pt>
                <c:pt idx="1">
                  <c:v>6</c:v>
                </c:pt>
                <c:pt idx="2">
                  <c:v>9</c:v>
                </c:pt>
              </c:numCache>
            </c:numRef>
          </c:val>
          <c:extLst>
            <c:ext xmlns:c16="http://schemas.microsoft.com/office/drawing/2014/chart" uri="{C3380CC4-5D6E-409C-BE32-E72D297353CC}">
              <c16:uniqueId val="{00000006-C6E4-4034-909F-6F4527360023}"/>
            </c:ext>
          </c:extLst>
        </c:ser>
        <c:ser>
          <c:idx val="2"/>
          <c:order val="2"/>
          <c:tx>
            <c:strRef>
              <c:f>'Salary Range Vs Dept'!$D$1:$D$2</c:f>
              <c:strCache>
                <c:ptCount val="1"/>
                <c:pt idx="0">
                  <c:v>IT</c:v>
                </c:pt>
              </c:strCache>
            </c:strRef>
          </c:tx>
          <c:spPr>
            <a:solidFill>
              <a:schemeClr val="accent3"/>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Dept'!$D$3:$D$6</c:f>
              <c:numCache>
                <c:formatCode>General</c:formatCode>
                <c:ptCount val="3"/>
                <c:pt idx="0">
                  <c:v>10</c:v>
                </c:pt>
                <c:pt idx="1">
                  <c:v>9</c:v>
                </c:pt>
                <c:pt idx="2">
                  <c:v>6</c:v>
                </c:pt>
              </c:numCache>
            </c:numRef>
          </c:val>
          <c:extLst>
            <c:ext xmlns:c16="http://schemas.microsoft.com/office/drawing/2014/chart" uri="{C3380CC4-5D6E-409C-BE32-E72D297353CC}">
              <c16:uniqueId val="{00000007-C6E4-4034-909F-6F4527360023}"/>
            </c:ext>
          </c:extLst>
        </c:ser>
        <c:ser>
          <c:idx val="3"/>
          <c:order val="3"/>
          <c:tx>
            <c:strRef>
              <c:f>'Salary Range Vs Dept'!$E$1:$E$2</c:f>
              <c:strCache>
                <c:ptCount val="1"/>
                <c:pt idx="0">
                  <c:v>Marketing</c:v>
                </c:pt>
              </c:strCache>
            </c:strRef>
          </c:tx>
          <c:spPr>
            <a:solidFill>
              <a:schemeClr val="accent4"/>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Dept'!$E$3:$E$6</c:f>
              <c:numCache>
                <c:formatCode>General</c:formatCode>
                <c:ptCount val="3"/>
                <c:pt idx="0">
                  <c:v>18</c:v>
                </c:pt>
                <c:pt idx="1">
                  <c:v>13</c:v>
                </c:pt>
                <c:pt idx="2">
                  <c:v>22</c:v>
                </c:pt>
              </c:numCache>
            </c:numRef>
          </c:val>
          <c:extLst>
            <c:ext xmlns:c16="http://schemas.microsoft.com/office/drawing/2014/chart" uri="{C3380CC4-5D6E-409C-BE32-E72D297353CC}">
              <c16:uniqueId val="{00000008-C6E4-4034-909F-6F4527360023}"/>
            </c:ext>
          </c:extLst>
        </c:ser>
        <c:ser>
          <c:idx val="4"/>
          <c:order val="4"/>
          <c:tx>
            <c:strRef>
              <c:f>'Salary Range Vs Dept'!$F$1:$F$2</c:f>
              <c:strCache>
                <c:ptCount val="1"/>
                <c:pt idx="0">
                  <c:v>Sales</c:v>
                </c:pt>
              </c:strCache>
            </c:strRef>
          </c:tx>
          <c:spPr>
            <a:solidFill>
              <a:schemeClr val="accent5"/>
            </a:solidFill>
            <a:ln>
              <a:noFill/>
            </a:ln>
            <a:effectLst/>
            <a:sp3d/>
          </c:spPr>
          <c:invertIfNegative val="0"/>
          <c:cat>
            <c:strRef>
              <c:f>'Salary Range Vs Dept'!$A$3:$A$6</c:f>
              <c:strCache>
                <c:ptCount val="3"/>
                <c:pt idx="0">
                  <c:v>High Salary</c:v>
                </c:pt>
                <c:pt idx="1">
                  <c:v>low salary</c:v>
                </c:pt>
                <c:pt idx="2">
                  <c:v>Normal Salary</c:v>
                </c:pt>
              </c:strCache>
            </c:strRef>
          </c:cat>
          <c:val>
            <c:numRef>
              <c:f>'Salary Range Vs Dept'!$F$3:$F$6</c:f>
              <c:numCache>
                <c:formatCode>General</c:formatCode>
                <c:ptCount val="3"/>
                <c:pt idx="0">
                  <c:v>10</c:v>
                </c:pt>
                <c:pt idx="1">
                  <c:v>7</c:v>
                </c:pt>
                <c:pt idx="2">
                  <c:v>9</c:v>
                </c:pt>
              </c:numCache>
            </c:numRef>
          </c:val>
          <c:extLst>
            <c:ext xmlns:c16="http://schemas.microsoft.com/office/drawing/2014/chart" uri="{C3380CC4-5D6E-409C-BE32-E72D297353CC}">
              <c16:uniqueId val="{00000009-C6E4-4034-909F-6F4527360023}"/>
            </c:ext>
          </c:extLst>
        </c:ser>
        <c:dLbls>
          <c:showLegendKey val="0"/>
          <c:showVal val="0"/>
          <c:showCatName val="0"/>
          <c:showSerName val="0"/>
          <c:showPercent val="0"/>
          <c:showBubbleSize val="0"/>
        </c:dLbls>
        <c:gapWidth val="150"/>
        <c:shape val="box"/>
        <c:axId val="67882768"/>
        <c:axId val="67881808"/>
        <c:axId val="0"/>
      </c:bar3DChart>
      <c:catAx>
        <c:axId val="67882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1808"/>
        <c:crosses val="autoZero"/>
        <c:auto val="1"/>
        <c:lblAlgn val="ctr"/>
        <c:lblOffset val="100"/>
        <c:noMultiLvlLbl val="0"/>
      </c:catAx>
      <c:valAx>
        <c:axId val="6788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8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449580</xdr:colOff>
      <xdr:row>0</xdr:row>
      <xdr:rowOff>95250</xdr:rowOff>
    </xdr:from>
    <xdr:to>
      <xdr:col>10</xdr:col>
      <xdr:colOff>144780</xdr:colOff>
      <xdr:row>15</xdr:row>
      <xdr:rowOff>95250</xdr:rowOff>
    </xdr:to>
    <xdr:graphicFrame macro="">
      <xdr:nvGraphicFramePr>
        <xdr:cNvPr id="3" name="Chart 2">
          <a:extLst>
            <a:ext uri="{FF2B5EF4-FFF2-40B4-BE49-F238E27FC236}">
              <a16:creationId xmlns:a16="http://schemas.microsoft.com/office/drawing/2014/main" id="{51FAD55F-672A-CF34-1C25-76661BCBC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266700</xdr:colOff>
      <xdr:row>1</xdr:row>
      <xdr:rowOff>60960</xdr:rowOff>
    </xdr:from>
    <xdr:to>
      <xdr:col>14</xdr:col>
      <xdr:colOff>266700</xdr:colOff>
      <xdr:row>14</xdr:row>
      <xdr:rowOff>150495</xdr:rowOff>
    </xdr:to>
    <mc:AlternateContent xmlns:mc="http://schemas.openxmlformats.org/markup-compatibility/2006" xmlns:a14="http://schemas.microsoft.com/office/drawing/2010/main">
      <mc:Choice Requires="a14">
        <xdr:graphicFrame macro="">
          <xdr:nvGraphicFramePr>
            <xdr:cNvPr id="5" name="Department 2">
              <a:extLst>
                <a:ext uri="{FF2B5EF4-FFF2-40B4-BE49-F238E27FC236}">
                  <a16:creationId xmlns:a16="http://schemas.microsoft.com/office/drawing/2014/main" id="{B4C66846-0577-254B-2485-DB41BD239267}"/>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800862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7</xdr:row>
      <xdr:rowOff>3810</xdr:rowOff>
    </xdr:from>
    <xdr:to>
      <xdr:col>8</xdr:col>
      <xdr:colOff>563880</xdr:colOff>
      <xdr:row>22</xdr:row>
      <xdr:rowOff>3810</xdr:rowOff>
    </xdr:to>
    <xdr:graphicFrame macro="">
      <xdr:nvGraphicFramePr>
        <xdr:cNvPr id="2" name="Chart 1">
          <a:extLst>
            <a:ext uri="{FF2B5EF4-FFF2-40B4-BE49-F238E27FC236}">
              <a16:creationId xmlns:a16="http://schemas.microsoft.com/office/drawing/2014/main" id="{F5FC1533-2969-A9CD-C682-06740E74E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1188720</xdr:colOff>
      <xdr:row>1</xdr:row>
      <xdr:rowOff>137161</xdr:rowOff>
    </xdr:from>
    <xdr:to>
      <xdr:col>11</xdr:col>
      <xdr:colOff>274320</xdr:colOff>
      <xdr:row>10</xdr:row>
      <xdr:rowOff>99061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546B8E07-C221-882E-B388-AC5867153B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46920" y="320041"/>
              <a:ext cx="1828800" cy="160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106680</xdr:colOff>
      <xdr:row>0</xdr:row>
      <xdr:rowOff>160020</xdr:rowOff>
    </xdr:from>
    <xdr:to>
      <xdr:col>16</xdr:col>
      <xdr:colOff>106680</xdr:colOff>
      <xdr:row>14</xdr:row>
      <xdr:rowOff>66675</xdr:rowOff>
    </xdr:to>
    <mc:AlternateContent xmlns:mc="http://schemas.openxmlformats.org/markup-compatibility/2006" xmlns:a14="http://schemas.microsoft.com/office/drawing/2010/main">
      <mc:Choice Requires="a14">
        <xdr:graphicFrame macro="">
          <xdr:nvGraphicFramePr>
            <xdr:cNvPr id="5" name="Performance Rating">
              <a:extLst>
                <a:ext uri="{FF2B5EF4-FFF2-40B4-BE49-F238E27FC236}">
                  <a16:creationId xmlns:a16="http://schemas.microsoft.com/office/drawing/2014/main" id="{B25EB25E-F5E0-5225-7899-24B3C09F143B}"/>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8336280" y="160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4</xdr:row>
      <xdr:rowOff>68580</xdr:rowOff>
    </xdr:from>
    <xdr:to>
      <xdr:col>16</xdr:col>
      <xdr:colOff>228600</xdr:colOff>
      <xdr:row>17</xdr:row>
      <xdr:rowOff>158115</xdr:rowOff>
    </xdr:to>
    <mc:AlternateContent xmlns:mc="http://schemas.openxmlformats.org/markup-compatibility/2006" xmlns:a14="http://schemas.microsoft.com/office/drawing/2010/main">
      <mc:Choice Requires="a14">
        <xdr:graphicFrame macro="">
          <xdr:nvGraphicFramePr>
            <xdr:cNvPr id="6" name="Department 3">
              <a:extLst>
                <a:ext uri="{FF2B5EF4-FFF2-40B4-BE49-F238E27FC236}">
                  <a16:creationId xmlns:a16="http://schemas.microsoft.com/office/drawing/2014/main" id="{68DA32F4-5486-4D6A-C6C5-17D42B7FB2FE}"/>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8458200" y="800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769620</xdr:colOff>
      <xdr:row>10</xdr:row>
      <xdr:rowOff>26670</xdr:rowOff>
    </xdr:from>
    <xdr:to>
      <xdr:col>10</xdr:col>
      <xdr:colOff>281940</xdr:colOff>
      <xdr:row>25</xdr:row>
      <xdr:rowOff>26670</xdr:rowOff>
    </xdr:to>
    <xdr:graphicFrame macro="">
      <xdr:nvGraphicFramePr>
        <xdr:cNvPr id="8" name="Chart 7">
          <a:extLst>
            <a:ext uri="{FF2B5EF4-FFF2-40B4-BE49-F238E27FC236}">
              <a16:creationId xmlns:a16="http://schemas.microsoft.com/office/drawing/2014/main" id="{CA31E02B-6982-7630-D908-06B5E925F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182880</xdr:colOff>
      <xdr:row>10</xdr:row>
      <xdr:rowOff>80010</xdr:rowOff>
    </xdr:from>
    <xdr:to>
      <xdr:col>10</xdr:col>
      <xdr:colOff>426720</xdr:colOff>
      <xdr:row>25</xdr:row>
      <xdr:rowOff>80010</xdr:rowOff>
    </xdr:to>
    <xdr:graphicFrame macro="">
      <xdr:nvGraphicFramePr>
        <xdr:cNvPr id="5" name="Chart 4">
          <a:extLst>
            <a:ext uri="{FF2B5EF4-FFF2-40B4-BE49-F238E27FC236}">
              <a16:creationId xmlns:a16="http://schemas.microsoft.com/office/drawing/2014/main" id="{8B8DA974-DE83-C23D-6AFF-A7A35869C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381000</xdr:colOff>
      <xdr:row>3</xdr:row>
      <xdr:rowOff>60960</xdr:rowOff>
    </xdr:from>
    <xdr:to>
      <xdr:col>14</xdr:col>
      <xdr:colOff>381000</xdr:colOff>
      <xdr:row>16</xdr:row>
      <xdr:rowOff>150495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E05633D-B66F-FE8A-CC54-D7BA5D47FCF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95260" y="609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12</xdr:row>
      <xdr:rowOff>83820</xdr:rowOff>
    </xdr:from>
    <xdr:to>
      <xdr:col>15</xdr:col>
      <xdr:colOff>571500</xdr:colOff>
      <xdr:row>25</xdr:row>
      <xdr:rowOff>173355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BC99765F-8A5B-5641-AEA3-E71CC713D40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595360" y="2278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533400</xdr:colOff>
      <xdr:row>0</xdr:row>
      <xdr:rowOff>41910</xdr:rowOff>
    </xdr:from>
    <xdr:to>
      <xdr:col>16</xdr:col>
      <xdr:colOff>228600</xdr:colOff>
      <xdr:row>15</xdr:row>
      <xdr:rowOff>41910</xdr:rowOff>
    </xdr:to>
    <xdr:graphicFrame macro="">
      <xdr:nvGraphicFramePr>
        <xdr:cNvPr id="2" name="Chart 1">
          <a:extLst>
            <a:ext uri="{FF2B5EF4-FFF2-40B4-BE49-F238E27FC236}">
              <a16:creationId xmlns:a16="http://schemas.microsoft.com/office/drawing/2014/main" id="{E5AA1C74-0DF2-0DD7-734A-A625849E2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388620</xdr:colOff>
      <xdr:row>4</xdr:row>
      <xdr:rowOff>22860</xdr:rowOff>
    </xdr:from>
    <xdr:to>
      <xdr:col>19</xdr:col>
      <xdr:colOff>388620</xdr:colOff>
      <xdr:row>17</xdr:row>
      <xdr:rowOff>112395</xdr:rowOff>
    </xdr:to>
    <mc:AlternateContent xmlns:mc="http://schemas.openxmlformats.org/markup-compatibility/2006" xmlns:a14="http://schemas.microsoft.com/office/drawing/2010/main">
      <mc:Choice Requires="a14">
        <xdr:graphicFrame macro="">
          <xdr:nvGraphicFramePr>
            <xdr:cNvPr id="3" name="Performance Rating 1">
              <a:extLst>
                <a:ext uri="{FF2B5EF4-FFF2-40B4-BE49-F238E27FC236}">
                  <a16:creationId xmlns:a16="http://schemas.microsoft.com/office/drawing/2014/main" id="{C16B98D7-724F-415E-4A8B-F8B7D536729A}"/>
                </a:ext>
              </a:extLst>
            </xdr:cNvPr>
            <xdr:cNvGraphicFramePr/>
          </xdr:nvGraphicFramePr>
          <xdr:xfrm>
            <a:off x="0" y="0"/>
            <a:ext cx="0" cy="0"/>
          </xdr:xfrm>
          <a:graphic>
            <a:graphicData uri="http://schemas.microsoft.com/office/drawing/2010/slicer">
              <sle:slicer xmlns:sle="http://schemas.microsoft.com/office/drawing/2010/slicer" name="Performance Rating 1"/>
            </a:graphicData>
          </a:graphic>
        </xdr:graphicFrame>
      </mc:Choice>
      <mc:Fallback xmlns="">
        <xdr:sp macro="" textlink="">
          <xdr:nvSpPr>
            <xdr:cNvPr id="0" name=""/>
            <xdr:cNvSpPr>
              <a:spLocks noTextEdit="1"/>
            </xdr:cNvSpPr>
          </xdr:nvSpPr>
          <xdr:spPr>
            <a:xfrm>
              <a:off x="984504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411480</xdr:colOff>
      <xdr:row>7</xdr:row>
      <xdr:rowOff>148590</xdr:rowOff>
    </xdr:from>
    <xdr:to>
      <xdr:col>12</xdr:col>
      <xdr:colOff>45720</xdr:colOff>
      <xdr:row>22</xdr:row>
      <xdr:rowOff>148590</xdr:rowOff>
    </xdr:to>
    <xdr:graphicFrame macro="">
      <xdr:nvGraphicFramePr>
        <xdr:cNvPr id="2" name="Chart 1">
          <a:extLst>
            <a:ext uri="{FF2B5EF4-FFF2-40B4-BE49-F238E27FC236}">
              <a16:creationId xmlns:a16="http://schemas.microsoft.com/office/drawing/2014/main" id="{0DAAB2DE-94CA-15D5-C948-12985ACCE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586740</xdr:colOff>
      <xdr:row>0</xdr:row>
      <xdr:rowOff>167640</xdr:rowOff>
    </xdr:from>
    <xdr:to>
      <xdr:col>15</xdr:col>
      <xdr:colOff>586740</xdr:colOff>
      <xdr:row>14</xdr:row>
      <xdr:rowOff>74295</xdr:rowOff>
    </xdr:to>
    <mc:AlternateContent xmlns:mc="http://schemas.openxmlformats.org/markup-compatibility/2006" xmlns:a14="http://schemas.microsoft.com/office/drawing/2010/main">
      <mc:Choice Requires="a14">
        <xdr:graphicFrame macro="">
          <xdr:nvGraphicFramePr>
            <xdr:cNvPr id="6" name="Salary Range">
              <a:extLst>
                <a:ext uri="{FF2B5EF4-FFF2-40B4-BE49-F238E27FC236}">
                  <a16:creationId xmlns:a16="http://schemas.microsoft.com/office/drawing/2014/main" id="{D726F297-CC7F-522A-D3AD-AA4D39321483}"/>
                </a:ext>
              </a:extLst>
            </xdr:cNvPr>
            <xdr:cNvGraphicFramePr/>
          </xdr:nvGraphicFramePr>
          <xdr:xfrm>
            <a:off x="0" y="0"/>
            <a:ext cx="0" cy="0"/>
          </xdr:xfrm>
          <a:graphic>
            <a:graphicData uri="http://schemas.microsoft.com/office/drawing/2010/slicer">
              <sle:slicer xmlns:sle="http://schemas.microsoft.com/office/drawing/2010/slicer" name="Salary Range"/>
            </a:graphicData>
          </a:graphic>
        </xdr:graphicFrame>
      </mc:Choice>
      <mc:Fallback xmlns="">
        <xdr:sp macro="" textlink="">
          <xdr:nvSpPr>
            <xdr:cNvPr id="0" name=""/>
            <xdr:cNvSpPr>
              <a:spLocks noTextEdit="1"/>
            </xdr:cNvSpPr>
          </xdr:nvSpPr>
          <xdr:spPr>
            <a:xfrm>
              <a:off x="836676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7</xdr:row>
      <xdr:rowOff>45720</xdr:rowOff>
    </xdr:from>
    <xdr:to>
      <xdr:col>17</xdr:col>
      <xdr:colOff>213360</xdr:colOff>
      <xdr:row>20</xdr:row>
      <xdr:rowOff>135255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41662AEB-8DDB-97F9-0E4F-B46AB79F3B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12580" y="1325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243840</xdr:colOff>
      <xdr:row>4</xdr:row>
      <xdr:rowOff>34290</xdr:rowOff>
    </xdr:from>
    <xdr:to>
      <xdr:col>11</xdr:col>
      <xdr:colOff>489585</xdr:colOff>
      <xdr:row>24</xdr:row>
      <xdr:rowOff>43815</xdr:rowOff>
    </xdr:to>
    <xdr:graphicFrame macro="">
      <xdr:nvGraphicFramePr>
        <xdr:cNvPr id="2" name="Chart 1">
          <a:extLst>
            <a:ext uri="{FF2B5EF4-FFF2-40B4-BE49-F238E27FC236}">
              <a16:creationId xmlns:a16="http://schemas.microsoft.com/office/drawing/2014/main" id="{376F4E3E-4961-1236-6261-5DC20630F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449580</xdr:colOff>
      <xdr:row>5</xdr:row>
      <xdr:rowOff>22860</xdr:rowOff>
    </xdr:from>
    <xdr:to>
      <xdr:col>11</xdr:col>
      <xdr:colOff>113538</xdr:colOff>
      <xdr:row>18</xdr:row>
      <xdr:rowOff>60960</xdr:rowOff>
    </xdr:to>
    <xdr:graphicFrame macro="">
      <xdr:nvGraphicFramePr>
        <xdr:cNvPr id="2" name="Chart 1">
          <a:extLst>
            <a:ext uri="{FF2B5EF4-FFF2-40B4-BE49-F238E27FC236}">
              <a16:creationId xmlns:a16="http://schemas.microsoft.com/office/drawing/2014/main" id="{4D50D762-BFC8-4989-AB8C-405502BDE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5</xdr:row>
      <xdr:rowOff>38101</xdr:rowOff>
    </xdr:from>
    <xdr:to>
      <xdr:col>17</xdr:col>
      <xdr:colOff>320040</xdr:colOff>
      <xdr:row>18</xdr:row>
      <xdr:rowOff>68580</xdr:rowOff>
    </xdr:to>
    <xdr:graphicFrame macro="">
      <xdr:nvGraphicFramePr>
        <xdr:cNvPr id="3" name="Chart 2">
          <a:extLst>
            <a:ext uri="{FF2B5EF4-FFF2-40B4-BE49-F238E27FC236}">
              <a16:creationId xmlns:a16="http://schemas.microsoft.com/office/drawing/2014/main" id="{2005CCCB-A01C-4CA8-A105-26BA052D4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320040</xdr:colOff>
      <xdr:row>5</xdr:row>
      <xdr:rowOff>30481</xdr:rowOff>
    </xdr:from>
    <xdr:to>
      <xdr:col>24</xdr:col>
      <xdr:colOff>114300</xdr:colOff>
      <xdr:row>18</xdr:row>
      <xdr:rowOff>99061</xdr:rowOff>
    </xdr:to>
    <xdr:graphicFrame macro="">
      <xdr:nvGraphicFramePr>
        <xdr:cNvPr id="4" name="Chart 3">
          <a:extLst>
            <a:ext uri="{FF2B5EF4-FFF2-40B4-BE49-F238E27FC236}">
              <a16:creationId xmlns:a16="http://schemas.microsoft.com/office/drawing/2014/main" id="{0E287A7A-2B00-4EC0-8B87-3EBAB97AE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457200</xdr:colOff>
      <xdr:row>18</xdr:row>
      <xdr:rowOff>68581</xdr:rowOff>
    </xdr:from>
    <xdr:to>
      <xdr:col>11</xdr:col>
      <xdr:colOff>121920</xdr:colOff>
      <xdr:row>32</xdr:row>
      <xdr:rowOff>22861</xdr:rowOff>
    </xdr:to>
    <xdr:graphicFrame macro="">
      <xdr:nvGraphicFramePr>
        <xdr:cNvPr id="5" name="Chart 4">
          <a:extLst>
            <a:ext uri="{FF2B5EF4-FFF2-40B4-BE49-F238E27FC236}">
              <a16:creationId xmlns:a16="http://schemas.microsoft.com/office/drawing/2014/main" id="{B033453B-A3F7-4FA8-916F-9DB338374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114300</xdr:colOff>
      <xdr:row>18</xdr:row>
      <xdr:rowOff>68581</xdr:rowOff>
    </xdr:from>
    <xdr:to>
      <xdr:col>17</xdr:col>
      <xdr:colOff>297180</xdr:colOff>
      <xdr:row>32</xdr:row>
      <xdr:rowOff>45721</xdr:rowOff>
    </xdr:to>
    <xdr:graphicFrame macro="">
      <xdr:nvGraphicFramePr>
        <xdr:cNvPr id="6" name="Chart 5">
          <a:extLst>
            <a:ext uri="{FF2B5EF4-FFF2-40B4-BE49-F238E27FC236}">
              <a16:creationId xmlns:a16="http://schemas.microsoft.com/office/drawing/2014/main" id="{892DCA8B-0A0E-47FF-B71F-322BC8682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304800</xdr:colOff>
      <xdr:row>18</xdr:row>
      <xdr:rowOff>83820</xdr:rowOff>
    </xdr:from>
    <xdr:to>
      <xdr:col>24</xdr:col>
      <xdr:colOff>78377</xdr:colOff>
      <xdr:row>32</xdr:row>
      <xdr:rowOff>23948</xdr:rowOff>
    </xdr:to>
    <xdr:graphicFrame macro="">
      <xdr:nvGraphicFramePr>
        <xdr:cNvPr id="7" name="Chart 6">
          <a:extLst>
            <a:ext uri="{FF2B5EF4-FFF2-40B4-BE49-F238E27FC236}">
              <a16:creationId xmlns:a16="http://schemas.microsoft.com/office/drawing/2014/main" id="{8D59F0D2-79D2-429D-99FB-28026A1F80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381000</xdr:colOff>
      <xdr:row>5</xdr:row>
      <xdr:rowOff>129540</xdr:rowOff>
    </xdr:from>
    <xdr:to>
      <xdr:col>3</xdr:col>
      <xdr:colOff>381000</xdr:colOff>
      <xdr:row>17</xdr:row>
      <xdr:rowOff>83819</xdr:rowOff>
    </xdr:to>
    <mc:AlternateContent xmlns:mc="http://schemas.openxmlformats.org/markup-compatibility/2006" xmlns:a14="http://schemas.microsoft.com/office/drawing/2010/main">
      <mc:Choice Requires="a14">
        <xdr:graphicFrame macro="">
          <xdr:nvGraphicFramePr>
            <xdr:cNvPr id="8" name="Department 4">
              <a:extLst>
                <a:ext uri="{FF2B5EF4-FFF2-40B4-BE49-F238E27FC236}">
                  <a16:creationId xmlns:a16="http://schemas.microsoft.com/office/drawing/2014/main" id="{D336BE45-7486-EA86-8524-6F8751EFF119}"/>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381000" y="1043940"/>
              <a:ext cx="1828800" cy="2148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205740</xdr:colOff>
      <xdr:row>11</xdr:row>
      <xdr:rowOff>45720</xdr:rowOff>
    </xdr:from>
    <xdr:to>
      <xdr:col>4</xdr:col>
      <xdr:colOff>205740</xdr:colOff>
      <xdr:row>24</xdr:row>
      <xdr:rowOff>135255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8EEFF9EC-182B-2261-B0B1-F9765ACCE9D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815340" y="2057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7546294" backgroundQuery="1" createdVersion="8" refreshedVersion="8" minRefreshableVersion="3" recordCount="0" supportSubquery="1" supportAdvancedDrill="1" xr:uid="{BBBEAA24-75C4-44C0-90F1-34EC22C571E2}">
  <cacheSource type="external" connectionId="3"/>
  <cacheFields count="3">
    <cacheField name="[Table4].[Department].[Department]" caption="Department" numFmtId="0" hierarchy="2" level="1">
      <sharedItems count="5">
        <s v="Finance"/>
        <s v="HR"/>
        <s v="IT"/>
        <s v="Marketing"/>
        <s v="Sales"/>
      </sharedItems>
    </cacheField>
    <cacheField name="[Measures].[Count of Employee ID]" caption="Count of Employee ID" numFmtId="0" hierarchy="16" level="32767"/>
    <cacheField name="[Table4].[Country].[Country]" caption="Country" numFmtId="0" hierarchy="3" level="1">
      <sharedItems containsSemiMixedTypes="0" containsNonDate="0" containsString="0"/>
    </cacheField>
  </cacheFields>
  <cacheHierarchies count="21">
    <cacheHierarchy uniqueName="[Table4].[Employee ID]" caption="Employee ID" attribute="1" defaultMemberUniqueName="[Table4].[Employee ID].[All]" allUniqueName="[Table4].[Employee ID].[All]" dimensionUniqueName="[Table4]" displayFolder="" count="2" memberValueDatatype="130" unbalanced="0"/>
    <cacheHierarchy uniqueName="[Table4].[Name]" caption="Name" attribute="1" defaultMemberUniqueName="[Table4].[Name].[All]" allUniqueName="[Table4].[Name].[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0"/>
      </fieldsUsage>
    </cacheHierarchy>
    <cacheHierarchy uniqueName="[Table4].[Country]" caption="Country" attribute="1" defaultMemberUniqueName="[Table4].[Country].[All]" allUniqueName="[Table4].[Country].[All]" dimensionUniqueName="[Table4]" displayFolder="" count="2" memberValueDatatype="130" unbalanced="0">
      <fieldsUsage count="2">
        <fieldUsage x="-1"/>
        <fieldUsage x="2"/>
      </fieldsUsage>
    </cacheHierarchy>
    <cacheHierarchy uniqueName="[Table4].[Salary]" caption="Salary" attribute="1" defaultMemberUniqueName="[Table4].[Salary].[All]" allUniqueName="[Table4].[Salary].[All]" dimensionUniqueName="[Table4]" displayFolder="" count="2" memberValueDatatype="20" unbalanced="0"/>
    <cacheHierarchy uniqueName="[Table4].[Date of Joining]" caption="Date of Joining" attribute="1" time="1" defaultMemberUniqueName="[Table4].[Date of Joining].[All]" allUniqueName="[Table4].[Date of Joining].[All]" dimensionUniqueName="[Table4]" displayFolder="" count="2" memberValueDatatype="7" unbalanced="0"/>
    <cacheHierarchy uniqueName="[Table4].[Performance Rating]" caption="Performance Rating" attribute="1" defaultMemberUniqueName="[Table4].[Performance Rating].[All]" allUniqueName="[Table4].[Performance Rating].[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Salary Range]" caption="Salary Range" attribute="1" defaultMemberUniqueName="[Table4].[Salary Range].[All]" allUniqueName="[Table4].[Salary Range].[All]" dimensionUniqueName="[Table4]" displayFolder="" count="2" memberValueDatatype="130" unbalanced="0"/>
    <cacheHierarchy uniqueName="[Table4].[Email]" caption="Email" attribute="1" defaultMemberUniqueName="[Table4].[Email].[All]" allUniqueName="[Table4].[Email].[All]" dimensionUniqueName="[Table4]" displayFolder="" count="2" memberValueDatatype="130" unbalanced="0"/>
    <cacheHierarchy uniqueName="[Table4].[Date of Joining (Year)]" caption="Date of Joining (Year)" attribute="1" defaultMemberUniqueName="[Table4].[Date of Joining (Year)].[All]" allUniqueName="[Table4].[Date of Joining (Year)].[All]" dimensionUniqueName="[Table4]" displayFolder="" count="2"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2" memberValueDatatype="130" unbalanced="0"/>
    <cacheHierarchy uniqueName="[Table4].[Date of Joining (Month)]" caption="Date of Joining (Month)" attribute="1" defaultMemberUniqueName="[Table4].[Date of Joining (Month)].[All]" allUniqueName="[Table4].[Date of Joining (Month)].[All]" dimensionUniqueName="[Table4]" displayFolder="" count="2"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2"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8009256" backgroundQuery="1" createdVersion="8" refreshedVersion="8" minRefreshableVersion="3" recordCount="0" supportSubquery="1" supportAdvancedDrill="1" xr:uid="{E583A382-C373-435B-AE7E-8A5A47BB869D}">
  <cacheSource type="external" connectionId="3"/>
  <cacheFields count="3">
    <cacheField name="[Table4].[Country].[Country]" caption="Country" numFmtId="0" hierarchy="3" level="1">
      <sharedItems count="6">
        <s v="Australia"/>
        <s v="Germany"/>
        <s v="India"/>
        <s v="UK"/>
        <s v="Unknown"/>
        <s v="USA"/>
      </sharedItems>
    </cacheField>
    <cacheField name="[Table4].[Department].[Department]" caption="Department" numFmtId="0" hierarchy="2" level="1">
      <sharedItems count="5">
        <s v="Finance"/>
        <s v="HR"/>
        <s v="IT"/>
        <s v="Marketing"/>
        <s v="Sales"/>
      </sharedItems>
    </cacheField>
    <cacheField name="[Measures].[Sum of Salary]" caption="Sum of Salary" numFmtId="0" hierarchy="18" level="32767"/>
  </cacheFields>
  <cacheHierarchies count="21">
    <cacheHierarchy uniqueName="[Table4].[Employee ID]" caption="Employee ID" attribute="1" defaultMemberUniqueName="[Table4].[Employee ID].[All]" allUniqueName="[Table4].[Employee ID].[All]" dimensionUniqueName="[Table4]" displayFolder="" count="2" memberValueDatatype="130" unbalanced="0"/>
    <cacheHierarchy uniqueName="[Table4].[Name]" caption="Name" attribute="1" defaultMemberUniqueName="[Table4].[Name].[All]" allUniqueName="[Table4].[Name].[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1"/>
      </fieldsUsage>
    </cacheHierarchy>
    <cacheHierarchy uniqueName="[Table4].[Country]" caption="Country" attribute="1" defaultMemberUniqueName="[Table4].[Country].[All]" allUniqueName="[Table4].[Country].[All]" dimensionUniqueName="[Table4]" displayFolder="" count="2" memberValueDatatype="130" unbalanced="0">
      <fieldsUsage count="2">
        <fieldUsage x="-1"/>
        <fieldUsage x="0"/>
      </fieldsUsage>
    </cacheHierarchy>
    <cacheHierarchy uniqueName="[Table4].[Salary]" caption="Salary" attribute="1" defaultMemberUniqueName="[Table4].[Salary].[All]" allUniqueName="[Table4].[Salary].[All]" dimensionUniqueName="[Table4]" displayFolder="" count="2" memberValueDatatype="20" unbalanced="0"/>
    <cacheHierarchy uniqueName="[Table4].[Date of Joining]" caption="Date of Joining" attribute="1" time="1" defaultMemberUniqueName="[Table4].[Date of Joining].[All]" allUniqueName="[Table4].[Date of Joining].[All]" dimensionUniqueName="[Table4]" displayFolder="" count="2" memberValueDatatype="7" unbalanced="0"/>
    <cacheHierarchy uniqueName="[Table4].[Performance Rating]" caption="Performance Rating" attribute="1" defaultMemberUniqueName="[Table4].[Performance Rating].[All]" allUniqueName="[Table4].[Performance Rating].[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Salary Range]" caption="Salary Range" attribute="1" defaultMemberUniqueName="[Table4].[Salary Range].[All]" allUniqueName="[Table4].[Salary Range].[All]" dimensionUniqueName="[Table4]" displayFolder="" count="2" memberValueDatatype="130" unbalanced="0"/>
    <cacheHierarchy uniqueName="[Table4].[Email]" caption="Email" attribute="1" defaultMemberUniqueName="[Table4].[Email].[All]" allUniqueName="[Table4].[Email].[All]" dimensionUniqueName="[Table4]" displayFolder="" count="2" memberValueDatatype="130" unbalanced="0"/>
    <cacheHierarchy uniqueName="[Table4].[Date of Joining (Year)]" caption="Date of Joining (Year)" attribute="1" defaultMemberUniqueName="[Table4].[Date of Joining (Year)].[All]" allUniqueName="[Table4].[Date of Joining (Year)].[All]" dimensionUniqueName="[Table4]" displayFolder="" count="2"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2" memberValueDatatype="130" unbalanced="0"/>
    <cacheHierarchy uniqueName="[Table4].[Date of Joining (Month)]" caption="Date of Joining (Month)" attribute="1" defaultMemberUniqueName="[Table4].[Date of Joining (Month)].[All]" allUniqueName="[Table4].[Date of Joining (Month)].[All]" dimensionUniqueName="[Table4]" displayFolder="" count="2"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2"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hidden="1">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8356479" backgroundQuery="1" createdVersion="8" refreshedVersion="8" minRefreshableVersion="3" recordCount="0" supportSubquery="1" supportAdvancedDrill="1" xr:uid="{E2B6859C-564D-40D0-860C-5C3A8B41E6BC}">
  <cacheSource type="external" connectionId="3"/>
  <cacheFields count="3">
    <cacheField name="[Table4].[Gender].[Gender]" caption="Gender" numFmtId="0" hierarchy="7" level="1">
      <sharedItems count="4">
        <s v="Female"/>
        <s v="Male"/>
        <s v="Other"/>
        <s v="Unknown"/>
      </sharedItems>
    </cacheField>
    <cacheField name="[Measures].[Count of Employee ID]" caption="Count of Employee ID" numFmtId="0" hierarchy="16" level="32767"/>
    <cacheField name="[Table4].[Country].[Country]" caption="Country" numFmtId="0" hierarchy="3" level="1">
      <sharedItems containsSemiMixedTypes="0" containsNonDate="0" containsString="0"/>
    </cacheField>
  </cacheFields>
  <cacheHierarchies count="21">
    <cacheHierarchy uniqueName="[Table4].[Employee ID]" caption="Employee ID" attribute="1" defaultMemberUniqueName="[Table4].[Employee ID].[All]" allUniqueName="[Table4].[Employee ID].[All]" dimensionUniqueName="[Table4]" displayFolder="" count="0" memberValueDatatype="130" unbalanced="0"/>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Country]" caption="Country" attribute="1" defaultMemberUniqueName="[Table4].[Country].[All]" allUniqueName="[Table4].[Country].[All]" dimensionUniqueName="[Table4]" displayFolder="" count="2" memberValueDatatype="130" unbalanced="0">
      <fieldsUsage count="2">
        <fieldUsage x="-1"/>
        <fieldUsage x="2"/>
      </fieldsUsage>
    </cacheHierarchy>
    <cacheHierarchy uniqueName="[Table4].[Salary]" caption="Salary" attribute="1" defaultMemberUniqueName="[Table4].[Salary].[All]" allUniqueName="[Table4].[Salary].[All]" dimensionUniqueName="[Table4]" displayFolder="" count="0" memberValueDatatype="20" unbalanced="0"/>
    <cacheHierarchy uniqueName="[Table4].[Date of Joining]" caption="Date of Joining" attribute="1" time="1" defaultMemberUniqueName="[Table4].[Date of Joining].[All]" allUniqueName="[Table4].[Date of Joining].[All]" dimensionUniqueName="[Table4]" displayFolder="" count="0" memberValueDatatype="7" unbalanced="0"/>
    <cacheHierarchy uniqueName="[Table4].[Performance Rating]" caption="Performance Rating" attribute="1" defaultMemberUniqueName="[Table4].[Performance Rating].[All]" allUniqueName="[Table4].[Performance Rating].[All]" dimensionUniqueName="[Table4]" displayFolder="" count="0" memberValueDatatype="20" unbalanced="0"/>
    <cacheHierarchy uniqueName="[Table4].[Gender]" caption="Gender" attribute="1" defaultMemberUniqueName="[Table4].[Gender].[All]" allUniqueName="[Table4].[Gender].[All]" dimensionUniqueName="[Table4]" displayFolder="" count="2" memberValueDatatype="130" unbalanced="0">
      <fieldsUsage count="2">
        <fieldUsage x="-1"/>
        <fieldUsage x="0"/>
      </fieldsUsage>
    </cacheHierarchy>
    <cacheHierarchy uniqueName="[Table4].[Salary Range]" caption="Salary Range" attribute="1" defaultMemberUniqueName="[Table4].[Salary Range].[All]" allUniqueName="[Table4].[Salary Range].[All]" dimensionUniqueName="[Table4]" displayFolder="" count="0" memberValueDatatype="130" unbalanced="0"/>
    <cacheHierarchy uniqueName="[Table4].[Email]" caption="Email" attribute="1" defaultMemberUniqueName="[Table4].[Email].[All]" allUniqueName="[Table4].[Email].[All]" dimensionUniqueName="[Table4]" displayFolder="" count="0" memberValueDatatype="130" unbalanced="0"/>
    <cacheHierarchy uniqueName="[Table4].[Date of Joining (Year)]" caption="Date of Joining (Year)" attribute="1" defaultMemberUniqueName="[Table4].[Date of Joining (Year)].[All]" allUniqueName="[Table4].[Date of Joining (Year)].[All]" dimensionUniqueName="[Table4]" displayFolder="" count="0"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0" memberValueDatatype="130" unbalanced="0"/>
    <cacheHierarchy uniqueName="[Table4].[Date of Joining (Month)]" caption="Date of Joining (Month)" attribute="1" defaultMemberUniqueName="[Table4].[Date of Joining (Month)].[All]" allUniqueName="[Table4].[Date of Joining (Month)].[All]" dimensionUniqueName="[Table4]" displayFolder="" count="0"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0"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8703702" backgroundQuery="1" createdVersion="8" refreshedVersion="8" minRefreshableVersion="3" recordCount="0" supportSubquery="1" supportAdvancedDrill="1" xr:uid="{07B34C91-AB3B-45D0-8D29-D174BAB5BC21}">
  <cacheSource type="external" connectionId="3"/>
  <cacheFields count="4">
    <cacheField name="[Table4].[Performance Rating].[Performance Rating]" caption="Performance Rating" numFmtId="0" hierarchy="6"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Table4].[Performance Rating].&amp;[1]"/>
          </x15:cachedUniqueNames>
        </ext>
      </extLst>
    </cacheField>
    <cacheField name="[Measures].[Count of Employee ID]" caption="Count of Employee ID" numFmtId="0" hierarchy="16" level="32767"/>
    <cacheField name="[Table4].[Department].[Department]" caption="Department" numFmtId="0" hierarchy="2" level="1">
      <sharedItems count="5">
        <s v="Finance"/>
        <s v="HR"/>
        <s v="IT"/>
        <s v="Marketing"/>
        <s v="Sales"/>
      </sharedItems>
    </cacheField>
    <cacheField name="[Table4].[Country].[Country]" caption="Country" numFmtId="0" hierarchy="3" level="1">
      <sharedItems containsSemiMixedTypes="0" containsNonDate="0" containsString="0"/>
    </cacheField>
  </cacheFields>
  <cacheHierarchies count="21">
    <cacheHierarchy uniqueName="[Table4].[Employee ID]" caption="Employee ID" attribute="1" defaultMemberUniqueName="[Table4].[Employee ID].[All]" allUniqueName="[Table4].[Employee ID].[All]" dimensionUniqueName="[Table4]" displayFolder="" count="0" memberValueDatatype="130" unbalanced="0"/>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2"/>
      </fieldsUsage>
    </cacheHierarchy>
    <cacheHierarchy uniqueName="[Table4].[Country]" caption="Country" attribute="1" defaultMemberUniqueName="[Table4].[Country].[All]" allUniqueName="[Table4].[Country].[All]" dimensionUniqueName="[Table4]" displayFolder="" count="2" memberValueDatatype="130" unbalanced="0">
      <fieldsUsage count="2">
        <fieldUsage x="-1"/>
        <fieldUsage x="3"/>
      </fieldsUsage>
    </cacheHierarchy>
    <cacheHierarchy uniqueName="[Table4].[Salary]" caption="Salary" attribute="1" defaultMemberUniqueName="[Table4].[Salary].[All]" allUniqueName="[Table4].[Salary].[All]" dimensionUniqueName="[Table4]" displayFolder="" count="0" memberValueDatatype="20" unbalanced="0"/>
    <cacheHierarchy uniqueName="[Table4].[Date of Joining]" caption="Date of Joining" attribute="1" time="1" defaultMemberUniqueName="[Table4].[Date of Joining].[All]" allUniqueName="[Table4].[Date of Joining].[All]" dimensionUniqueName="[Table4]" displayFolder="" count="0" memberValueDatatype="7" unbalanced="0"/>
    <cacheHierarchy uniqueName="[Table4].[Performance Rating]" caption="Performance Rating" attribute="1" defaultMemberUniqueName="[Table4].[Performance Rating].[All]" allUniqueName="[Table4].[Performance Rating].[All]" dimensionUniqueName="[Table4]" displayFolder="" count="2" memberValueDatatype="20" unbalanced="0">
      <fieldsUsage count="2">
        <fieldUsage x="-1"/>
        <fieldUsage x="0"/>
      </fieldsUsage>
    </cacheHierarchy>
    <cacheHierarchy uniqueName="[Table4].[Gender]" caption="Gender" attribute="1" defaultMemberUniqueName="[Table4].[Gender].[All]" allUniqueName="[Table4].[Gender].[All]" dimensionUniqueName="[Table4]" displayFolder="" count="0" memberValueDatatype="130" unbalanced="0"/>
    <cacheHierarchy uniqueName="[Table4].[Salary Range]" caption="Salary Range" attribute="1" defaultMemberUniqueName="[Table4].[Salary Range].[All]" allUniqueName="[Table4].[Salary Range].[All]" dimensionUniqueName="[Table4]" displayFolder="" count="0" memberValueDatatype="130" unbalanced="0"/>
    <cacheHierarchy uniqueName="[Table4].[Email]" caption="Email" attribute="1" defaultMemberUniqueName="[Table4].[Email].[All]" allUniqueName="[Table4].[Email].[All]" dimensionUniqueName="[Table4]" displayFolder="" count="0" memberValueDatatype="130" unbalanced="0"/>
    <cacheHierarchy uniqueName="[Table4].[Date of Joining (Year)]" caption="Date of Joining (Year)" attribute="1" defaultMemberUniqueName="[Table4].[Date of Joining (Year)].[All]" allUniqueName="[Table4].[Date of Joining (Year)].[All]" dimensionUniqueName="[Table4]" displayFolder="" count="0"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0" memberValueDatatype="130" unbalanced="0"/>
    <cacheHierarchy uniqueName="[Table4].[Date of Joining (Month)]" caption="Date of Joining (Month)" attribute="1" defaultMemberUniqueName="[Table4].[Date of Joining (Month)].[All]" allUniqueName="[Table4].[Date of Joining (Month)].[All]" dimensionUniqueName="[Table4]" displayFolder="" count="0"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0"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9050926" backgroundQuery="1" createdVersion="8" refreshedVersion="8" minRefreshableVersion="3" recordCount="0" supportSubquery="1" supportAdvancedDrill="1" xr:uid="{DE061F73-43BC-45A1-908F-32270F85E64F}">
  <cacheSource type="external" connectionId="3"/>
  <cacheFields count="4">
    <cacheField name="[Table4].[Salary Range].[Salary Range]" caption="Salary Range" numFmtId="0" hierarchy="8" level="1">
      <sharedItems count="3">
        <s v="High Salary"/>
        <s v="low salary"/>
        <s v="Normal Salary"/>
      </sharedItems>
    </cacheField>
    <cacheField name="[Table4].[Department].[Department]" caption="Department" numFmtId="0" hierarchy="2" level="1">
      <sharedItems count="5">
        <s v="Finance"/>
        <s v="HR"/>
        <s v="IT"/>
        <s v="Marketing"/>
        <s v="Sales"/>
      </sharedItems>
    </cacheField>
    <cacheField name="[Measures].[Count of Employee ID]" caption="Count of Employee ID" numFmtId="0" hierarchy="16" level="32767"/>
    <cacheField name="[Table4].[Country].[Country]" caption="Country" numFmtId="0" hierarchy="3" level="1">
      <sharedItems containsSemiMixedTypes="0" containsNonDate="0" containsString="0"/>
    </cacheField>
  </cacheFields>
  <cacheHierarchies count="21">
    <cacheHierarchy uniqueName="[Table4].[Employee ID]" caption="Employee ID" attribute="1" defaultMemberUniqueName="[Table4].[Employee ID].[All]" allUniqueName="[Table4].[Employee ID].[All]" dimensionUniqueName="[Table4]" displayFolder="" count="2" memberValueDatatype="130" unbalanced="0"/>
    <cacheHierarchy uniqueName="[Table4].[Name]" caption="Name" attribute="1" defaultMemberUniqueName="[Table4].[Name].[All]" allUniqueName="[Table4].[Name].[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1"/>
      </fieldsUsage>
    </cacheHierarchy>
    <cacheHierarchy uniqueName="[Table4].[Country]" caption="Country" attribute="1" defaultMemberUniqueName="[Table4].[Country].[All]" allUniqueName="[Table4].[Country].[All]" dimensionUniqueName="[Table4]" displayFolder="" count="2" memberValueDatatype="130" unbalanced="0">
      <fieldsUsage count="2">
        <fieldUsage x="-1"/>
        <fieldUsage x="3"/>
      </fieldsUsage>
    </cacheHierarchy>
    <cacheHierarchy uniqueName="[Table4].[Salary]" caption="Salary" attribute="1" defaultMemberUniqueName="[Table4].[Salary].[All]" allUniqueName="[Table4].[Salary].[All]" dimensionUniqueName="[Table4]" displayFolder="" count="2" memberValueDatatype="20" unbalanced="0"/>
    <cacheHierarchy uniqueName="[Table4].[Date of Joining]" caption="Date of Joining" attribute="1" time="1" defaultMemberUniqueName="[Table4].[Date of Joining].[All]" allUniqueName="[Table4].[Date of Joining].[All]" dimensionUniqueName="[Table4]" displayFolder="" count="2" memberValueDatatype="7" unbalanced="0"/>
    <cacheHierarchy uniqueName="[Table4].[Performance Rating]" caption="Performance Rating" attribute="1" defaultMemberUniqueName="[Table4].[Performance Rating].[All]" allUniqueName="[Table4].[Performance Rating].[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Salary Range]" caption="Salary Range" attribute="1" defaultMemberUniqueName="[Table4].[Salary Range].[All]" allUniqueName="[Table4].[Salary Range].[All]" dimensionUniqueName="[Table4]" displayFolder="" count="2" memberValueDatatype="130" unbalanced="0">
      <fieldsUsage count="2">
        <fieldUsage x="-1"/>
        <fieldUsage x="0"/>
      </fieldsUsage>
    </cacheHierarchy>
    <cacheHierarchy uniqueName="[Table4].[Email]" caption="Email" attribute="1" defaultMemberUniqueName="[Table4].[Email].[All]" allUniqueName="[Table4].[Email].[All]" dimensionUniqueName="[Table4]" displayFolder="" count="2" memberValueDatatype="130" unbalanced="0"/>
    <cacheHierarchy uniqueName="[Table4].[Date of Joining (Year)]" caption="Date of Joining (Year)" attribute="1" defaultMemberUniqueName="[Table4].[Date of Joining (Year)].[All]" allUniqueName="[Table4].[Date of Joining (Year)].[All]" dimensionUniqueName="[Table4]" displayFolder="" count="2"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2" memberValueDatatype="130" unbalanced="0"/>
    <cacheHierarchy uniqueName="[Table4].[Date of Joining (Month)]" caption="Date of Joining (Month)" attribute="1" defaultMemberUniqueName="[Table4].[Date of Joining (Month)].[All]" allUniqueName="[Table4].[Date of Joining (Month)].[All]" dimensionUniqueName="[Table4]" displayFolder="" count="2"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2"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854629629626" backgroundQuery="1" createdVersion="8" refreshedVersion="8" minRefreshableVersion="3" recordCount="0" supportSubquery="1" supportAdvancedDrill="1" xr:uid="{97B06816-E44E-43E4-8104-E8D10A1C8CD8}">
  <cacheSource type="external" connectionId="3"/>
  <cacheFields count="7">
    <cacheField name="[Table4].[Date of Joining].[Date of Joining]" caption="Date of Joining" numFmtId="0" hierarchy="5" level="1">
      <sharedItems containsSemiMixedTypes="0" containsNonDate="0" containsDate="1" containsString="0" minDate="2015-01-11T00:00:00" maxDate="2017-11-13T00:00:00" count="142">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1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Table4].[Date of Joining (Month)].[Date of Joining (Month)]" caption="Date of Joining (Month)" numFmtId="0" hierarchy="12" level="1">
      <sharedItems count="12">
        <s v="Jan"/>
        <s v="Feb"/>
        <s v="Mar"/>
        <s v="Apr"/>
        <s v="May"/>
        <s v="Jun"/>
        <s v="Jul"/>
        <s v="Aug"/>
        <s v="Sep"/>
        <s v="Oct"/>
        <s v="Nov"/>
        <s v="Dec"/>
      </sharedItems>
    </cacheField>
    <cacheField name="[Table4].[Date of Joining (Quarter)].[Date of Joining (Quarter)]" caption="Date of Joining (Quarter)" numFmtId="0" hierarchy="11" level="1">
      <sharedItems count="4">
        <s v="Qtr1"/>
        <s v="Qtr2"/>
        <s v="Qtr3"/>
        <s v="Qtr4"/>
      </sharedItems>
    </cacheField>
    <cacheField name="[Table4].[Date of Joining (Year)].[Date of Joining (Year)]" caption="Date of Joining (Year)" numFmtId="0" hierarchy="10" level="1">
      <sharedItems count="3">
        <s v="2015"/>
        <s v="2016"/>
        <s v="2017"/>
      </sharedItems>
    </cacheField>
    <cacheField name="[Table4].[Performance Rating].[Performance Rating]" caption="Performance Rating" numFmtId="0" hierarchy="6"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able4].[Performance Rating].&amp;[1]"/>
            <x15:cachedUniqueName index="1" name="[Table4].[Performance Rating].&amp;[2]"/>
            <x15:cachedUniqueName index="2" name="[Table4].[Performance Rating].&amp;[3]"/>
            <x15:cachedUniqueName index="3" name="[Table4].[Performance Rating].&amp;[4]"/>
            <x15:cachedUniqueName index="4" name="[Table4].[Performance Rating].&amp;[5]"/>
          </x15:cachedUniqueNames>
        </ext>
      </extLst>
    </cacheField>
    <cacheField name="[Measures].[Count of Employee ID]" caption="Count of Employee ID" numFmtId="0" hierarchy="16" level="32767"/>
    <cacheField name="[Table4].[Country].[Country]" caption="Country" numFmtId="0" hierarchy="3" level="1">
      <sharedItems containsSemiMixedTypes="0" containsNonDate="0" containsString="0"/>
    </cacheField>
  </cacheFields>
  <cacheHierarchies count="21">
    <cacheHierarchy uniqueName="[Table4].[Employee ID]" caption="Employee ID" attribute="1" defaultMemberUniqueName="[Table4].[Employee ID].[All]" allUniqueName="[Table4].[Employee ID].[All]" dimensionUniqueName="[Table4]" displayFolder="" count="2" memberValueDatatype="130" unbalanced="0"/>
    <cacheHierarchy uniqueName="[Table4].[Name]" caption="Name" attribute="1" defaultMemberUniqueName="[Table4].[Name].[All]" allUniqueName="[Table4].[Name].[All]" dimensionUniqueName="[Table4]"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Country]" caption="Country" attribute="1" defaultMemberUniqueName="[Table4].[Country].[All]" allUniqueName="[Table4].[Country].[All]" dimensionUniqueName="[Table4]" displayFolder="" count="2" memberValueDatatype="130" unbalanced="0">
      <fieldsUsage count="2">
        <fieldUsage x="-1"/>
        <fieldUsage x="6"/>
      </fieldsUsage>
    </cacheHierarchy>
    <cacheHierarchy uniqueName="[Table4].[Salary]" caption="Salary" attribute="1" defaultMemberUniqueName="[Table4].[Salary].[All]" allUniqueName="[Table4].[Salary].[All]" dimensionUniqueName="[Table4]" displayFolder="" count="2" memberValueDatatype="20" unbalanced="0"/>
    <cacheHierarchy uniqueName="[Table4].[Date of Joining]" caption="Date of Joining" attribute="1" time="1" defaultMemberUniqueName="[Table4].[Date of Joining].[All]" allUniqueName="[Table4].[Date of Joining].[All]" dimensionUniqueName="[Table4]" displayFolder="" count="2" memberValueDatatype="7" unbalanced="0">
      <fieldsUsage count="2">
        <fieldUsage x="-1"/>
        <fieldUsage x="0"/>
      </fieldsUsage>
    </cacheHierarchy>
    <cacheHierarchy uniqueName="[Table4].[Performance Rating]" caption="Performance Rating" attribute="1" defaultMemberUniqueName="[Table4].[Performance Rating].[All]" allUniqueName="[Table4].[Performance Rating].[All]" dimensionUniqueName="[Table4]" displayFolder="" count="2" memberValueDatatype="20" unbalanced="0">
      <fieldsUsage count="2">
        <fieldUsage x="-1"/>
        <fieldUsage x="4"/>
      </fieldsUsage>
    </cacheHierarchy>
    <cacheHierarchy uniqueName="[Table4].[Gender]" caption="Gender" attribute="1" defaultMemberUniqueName="[Table4].[Gender].[All]" allUniqueName="[Table4].[Gender].[All]" dimensionUniqueName="[Table4]" displayFolder="" count="2" memberValueDatatype="130" unbalanced="0"/>
    <cacheHierarchy uniqueName="[Table4].[Salary Range]" caption="Salary Range" attribute="1" defaultMemberUniqueName="[Table4].[Salary Range].[All]" allUniqueName="[Table4].[Salary Range].[All]" dimensionUniqueName="[Table4]" displayFolder="" count="2" memberValueDatatype="130" unbalanced="0"/>
    <cacheHierarchy uniqueName="[Table4].[Email]" caption="Email" attribute="1" defaultMemberUniqueName="[Table4].[Email].[All]" allUniqueName="[Table4].[Email].[All]" dimensionUniqueName="[Table4]" displayFolder="" count="2" memberValueDatatype="130" unbalanced="0"/>
    <cacheHierarchy uniqueName="[Table4].[Date of Joining (Year)]" caption="Date of Joining (Year)" attribute="1" defaultMemberUniqueName="[Table4].[Date of Joining (Year)].[All]" allUniqueName="[Table4].[Date of Joining (Year)].[All]" dimensionUniqueName="[Table4]" displayFolder="" count="2" memberValueDatatype="130" unbalanced="0">
      <fieldsUsage count="2">
        <fieldUsage x="-1"/>
        <fieldUsage x="3"/>
      </fieldsUsage>
    </cacheHierarchy>
    <cacheHierarchy uniqueName="[Table4].[Date of Joining (Quarter)]" caption="Date of Joining (Quarter)" attribute="1" defaultMemberUniqueName="[Table4].[Date of Joining (Quarter)].[All]" allUniqueName="[Table4].[Date of Joining (Quarter)].[All]" dimensionUniqueName="[Table4]" displayFolder="" count="2" memberValueDatatype="130" unbalanced="0">
      <fieldsUsage count="2">
        <fieldUsage x="-1"/>
        <fieldUsage x="2"/>
      </fieldsUsage>
    </cacheHierarchy>
    <cacheHierarchy uniqueName="[Table4].[Date of Joining (Month)]" caption="Date of Joining (Month)" attribute="1" defaultMemberUniqueName="[Table4].[Date of Joining (Month)].[All]" allUniqueName="[Table4].[Date of Joining (Month)].[All]" dimensionUniqueName="[Table4]" displayFolder="" count="2" memberValueDatatype="130" unbalanced="0">
      <fieldsUsage count="2">
        <fieldUsage x="-1"/>
        <fieldUsage x="1"/>
      </fieldsUsage>
    </cacheHierarchy>
    <cacheHierarchy uniqueName="[Table4].[Date of Joining (Month Index)]" caption="Date of Joining (Month Index)" attribute="1" defaultMemberUniqueName="[Table4].[Date of Joining (Month Index)].[All]" allUniqueName="[Table4].[Date of Joining (Month Index)].[All]" dimensionUniqueName="[Table4]" displayFolder="" count="2"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oneField="1" hidden="1">
      <fieldsUsage count="1">
        <fieldUsage x="5"/>
      </fieldsUsage>
      <extLst>
        <ext xmlns:x15="http://schemas.microsoft.com/office/spreadsheetml/2010/11/main" uri="{B97F6D7D-B522-45F9-BDA1-12C45D357490}">
          <x15:cacheHierarchy aggregatedColumn="0"/>
        </ext>
      </extLst>
    </cacheHierarchy>
    <cacheHierarchy uniqueName="[Measures].[Count of Country]" caption="Count of Country" measure="1" displayFolder="" measureGroup="Table4" count="0" hidden="1">
      <extLst>
        <ext xmlns:x15="http://schemas.microsoft.com/office/spreadsheetml/2010/11/main" uri="{B97F6D7D-B522-45F9-BDA1-12C45D357490}">
          <x15:cacheHierarchy aggregatedColumn="3"/>
        </ext>
      </extLst>
    </cacheHierarchy>
    <cacheHierarchy uniqueName="[Measures].[Sum of Salary]" caption="Sum of Salary" measure="1" displayFolder="" measureGroup="Table4"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Table4"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Table4"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4" uniqueName="[Table4]" caption="Table4"/>
  </dimensions>
  <measureGroups count="1">
    <measureGroup name="Table4" caption="Table4"/>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 refreshedDate="45977.618975462959" backgroundQuery="1" createdVersion="3" refreshedVersion="8" minRefreshableVersion="3" recordCount="0" supportSubquery="1" supportAdvancedDrill="1" xr:uid="{1E02A4F3-7D96-4675-B96C-CB6A45B9FD88}">
  <cacheSource type="external" connectionId="3">
    <extLst>
      <ext xmlns:x14="http://schemas.microsoft.com/office/spreadsheetml/2009/9/main" uri="{F057638F-6D5F-4e77-A914-E7F072B9BCA8}">
        <x14:sourceConnection name="ThisWorkbookDataModel"/>
      </ext>
    </extLst>
  </cacheSource>
  <cacheFields count="0"/>
  <cacheHierarchies count="17">
    <cacheHierarchy uniqueName="[Table4].[Employee ID]" caption="Employee ID" attribute="1" defaultMemberUniqueName="[Table4].[Employee ID].[All]" allUniqueName="[Table4].[Employee ID].[All]" dimensionUniqueName="[Table4]" displayFolder="" count="2" memberValueDatatype="130" unbalanced="0"/>
    <cacheHierarchy uniqueName="[Table4].[Name]" caption="Name" attribute="1" defaultMemberUniqueName="[Table4].[Name].[All]" allUniqueName="[Table4].[Name].[All]" dimensionUniqueName="[Table4]" displayFolder="" count="0"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Country]" caption="Country" attribute="1" defaultMemberUniqueName="[Table4].[Country].[All]" allUniqueName="[Table4].[Country].[All]" dimensionUniqueName="[Table4]" displayFolder="" count="2" memberValueDatatype="130" unbalanced="0"/>
    <cacheHierarchy uniqueName="[Table4].[Salary]" caption="Salary" attribute="1" defaultMemberUniqueName="[Table4].[Salary].[All]" allUniqueName="[Table4].[Salary].[All]" dimensionUniqueName="[Table4]" displayFolder="" count="2" memberValueDatatype="20" unbalanced="0"/>
    <cacheHierarchy uniqueName="[Table4].[Date of Joining]" caption="Date of Joining" attribute="1" time="1" defaultMemberUniqueName="[Table4].[Date of Joining].[All]" allUniqueName="[Table4].[Date of Joining].[All]" dimensionUniqueName="[Table4]" displayFolder="" count="0" memberValueDatatype="7" unbalanced="0"/>
    <cacheHierarchy uniqueName="[Table4].[Performance Rating]" caption="Performance Rating" attribute="1" defaultMemberUniqueName="[Table4].[Performance Rating].[All]" allUniqueName="[Table4].[Performance Rating].[All]" dimensionUniqueName="[Table4]" displayFolder="" count="2" memberValueDatatype="20" unbalanced="0"/>
    <cacheHierarchy uniqueName="[Table4].[Gender]" caption="Gender" attribute="1" defaultMemberUniqueName="[Table4].[Gender].[All]" allUniqueName="[Table4].[Gender].[All]" dimensionUniqueName="[Table4]" displayFolder="" count="2" memberValueDatatype="130" unbalanced="0"/>
    <cacheHierarchy uniqueName="[Table4].[Salary Range]" caption="Salary Range" attribute="1" defaultMemberUniqueName="[Table4].[Salary Range].[All]" allUniqueName="[Table4].[Salary Range].[All]" dimensionUniqueName="[Table4]" displayFolder="" count="2" memberValueDatatype="130" unbalanced="0"/>
    <cacheHierarchy uniqueName="[Table4].[Email]" caption="Email" attribute="1" defaultMemberUniqueName="[Table4].[Email].[All]" allUniqueName="[Table4].[Email].[All]" dimensionUniqueName="[Table4]" displayFolder="" count="0" memberValueDatatype="130" unbalanced="0"/>
    <cacheHierarchy uniqueName="[Table4].[Date of Joining (Year)]" caption="Date of Joining (Year)" attribute="1" defaultMemberUniqueName="[Table4].[Date of Joining (Year)].[All]" allUniqueName="[Table4].[Date of Joining (Year)].[All]" dimensionUniqueName="[Table4]" displayFolder="" count="0" memberValueDatatype="130" unbalanced="0"/>
    <cacheHierarchy uniqueName="[Table4].[Date of Joining (Quarter)]" caption="Date of Joining (Quarter)" attribute="1" defaultMemberUniqueName="[Table4].[Date of Joining (Quarter)].[All]" allUniqueName="[Table4].[Date of Joining (Quarter)].[All]" dimensionUniqueName="[Table4]" displayFolder="" count="0" memberValueDatatype="130" unbalanced="0"/>
    <cacheHierarchy uniqueName="[Table4].[Date of Joining (Month)]" caption="Date of Joining (Month)" attribute="1" defaultMemberUniqueName="[Table4].[Date of Joining (Month)].[All]" allUniqueName="[Table4].[Date of Joining (Month)].[All]" dimensionUniqueName="[Table4]" displayFolder="" count="0" memberValueDatatype="130" unbalanced="0"/>
    <cacheHierarchy uniqueName="[Table4].[Date of Joining (Month Index)]" caption="Date of Joining (Month Index)" attribute="1" defaultMemberUniqueName="[Table4].[Date of Joining (Month Index)].[All]" allUniqueName="[Table4].[Date of Joining (Month Index)].[All]" dimensionUniqueName="[Table4]" displayFolder="" count="0" memberValueDatatype="20" unbalanced="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mployee ID]" caption="Count of Employee ID" measure="1" displayFolder="" measureGroup="Table4"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085651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B2BED-C8DA-478E-ABB3-353D3268C6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loyee ID" fld="1" subtotal="count" baseField="0" baseItem="0"/>
  </dataFields>
  <chartFormats count="3">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A1B173-5836-4F1F-A9FB-4EDB0E7C5A1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Gender">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 ID" fld="1" subtotal="count" baseField="0" baseItem="0"/>
  </dataField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0" count="1" selected="0">
            <x v="0"/>
          </reference>
        </references>
      </pivotArea>
    </chartFormat>
    <chartFormat chart="8" format="17">
      <pivotArea type="data" outline="0" fieldPosition="0">
        <references count="2">
          <reference field="4294967294" count="1" selected="0">
            <x v="0"/>
          </reference>
          <reference field="0" count="1" selected="0">
            <x v="1"/>
          </reference>
        </references>
      </pivotArea>
    </chartFormat>
    <chartFormat chart="8" format="18">
      <pivotArea type="data" outline="0" fieldPosition="0">
        <references count="2">
          <reference field="4294967294" count="1" selected="0">
            <x v="0"/>
          </reference>
          <reference field="0" count="1" selected="0">
            <x v="2"/>
          </reference>
        </references>
      </pivotArea>
    </chartFormat>
    <chartFormat chart="8" format="19">
      <pivotArea type="data" outline="0" fieldPosition="0">
        <references count="2">
          <reference field="4294967294" count="1" selected="0">
            <x v="0"/>
          </reference>
          <reference field="0"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0" count="1" selected="0">
            <x v="0"/>
          </reference>
        </references>
      </pivotArea>
    </chartFormat>
    <chartFormat chart="9" format="22">
      <pivotArea type="data" outline="0" fieldPosition="0">
        <references count="2">
          <reference field="4294967294" count="1" selected="0">
            <x v="0"/>
          </reference>
          <reference field="0" count="1" selected="0">
            <x v="1"/>
          </reference>
        </references>
      </pivotArea>
    </chartFormat>
    <chartFormat chart="9" format="23">
      <pivotArea type="data" outline="0" fieldPosition="0">
        <references count="2">
          <reference field="4294967294" count="1" selected="0">
            <x v="0"/>
          </reference>
          <reference field="0" count="1" selected="0">
            <x v="2"/>
          </reference>
        </references>
      </pivotArea>
    </chartFormat>
    <chartFormat chart="9" format="24">
      <pivotArea type="data" outline="0" fieldPosition="0">
        <references count="2">
          <reference field="4294967294" count="1" selected="0">
            <x v="0"/>
          </reference>
          <reference field="0" count="1" selected="0">
            <x v="3"/>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E0EE9-BB30-4467-B8A8-8F38C0F39945}"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G4" firstHeaderRow="1" firstDataRow="2" firstDataCol="1"/>
  <pivotFields count="4">
    <pivotField axis="axisRow" allDrilled="1" subtotalTop="0" showAll="0" dataSourceSort="1" defaultSubtotal="0" defaultAttributeDrillState="1">
      <items count="1">
        <item s="1"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2">
    <i>
      <x/>
    </i>
    <i t="grand">
      <x/>
    </i>
  </rowItems>
  <colFields count="1">
    <field x="2"/>
  </colFields>
  <colItems count="6">
    <i>
      <x/>
    </i>
    <i>
      <x v="1"/>
    </i>
    <i>
      <x v="2"/>
    </i>
    <i>
      <x v="3"/>
    </i>
    <i>
      <x v="4"/>
    </i>
    <i t="grand">
      <x/>
    </i>
  </colItems>
  <dataFields count="1">
    <dataField name="Count of Employee ID" fld="1" subtotal="count" baseField="0" baseItem="0"/>
  </dataFields>
  <chartFormats count="11">
    <chartFormat chart="28" format="40" series="1">
      <pivotArea type="data" outline="0" fieldPosition="0">
        <references count="1">
          <reference field="4294967294" count="1" selected="0">
            <x v="0"/>
          </reference>
        </references>
      </pivotArea>
    </chartFormat>
    <chartFormat chart="28" format="42" series="1">
      <pivotArea type="data" outline="0" fieldPosition="0">
        <references count="2">
          <reference field="4294967294" count="1" selected="0">
            <x v="0"/>
          </reference>
          <reference field="2" count="1" selected="0">
            <x v="2"/>
          </reference>
        </references>
      </pivotArea>
    </chartFormat>
    <chartFormat chart="28" format="43" series="1">
      <pivotArea type="data" outline="0" fieldPosition="0">
        <references count="2">
          <reference field="4294967294" count="1" selected="0">
            <x v="0"/>
          </reference>
          <reference field="2" count="1" selected="0">
            <x v="3"/>
          </reference>
        </references>
      </pivotArea>
    </chartFormat>
    <chartFormat chart="28" format="44" series="1">
      <pivotArea type="data" outline="0" fieldPosition="0">
        <references count="2">
          <reference field="4294967294" count="1" selected="0">
            <x v="0"/>
          </reference>
          <reference field="2" count="1" selected="0">
            <x v="4"/>
          </reference>
        </references>
      </pivotArea>
    </chartFormat>
    <chartFormat chart="28" format="45" series="1">
      <pivotArea type="data" outline="0" fieldPosition="0">
        <references count="2">
          <reference field="4294967294" count="1" selected="0">
            <x v="0"/>
          </reference>
          <reference field="2" count="1" selected="0">
            <x v="0"/>
          </reference>
        </references>
      </pivotArea>
    </chartFormat>
    <chartFormat chart="28" format="46" series="1">
      <pivotArea type="data" outline="0" fieldPosition="0">
        <references count="2">
          <reference field="4294967294" count="1" selected="0">
            <x v="0"/>
          </reference>
          <reference field="2" count="1" selected="0">
            <x v="1"/>
          </reference>
        </references>
      </pivotArea>
    </chartFormat>
    <chartFormat chart="33" format="62" series="1">
      <pivotArea type="data" outline="0" fieldPosition="0">
        <references count="2">
          <reference field="4294967294" count="1" selected="0">
            <x v="0"/>
          </reference>
          <reference field="2" count="1" selected="0">
            <x v="0"/>
          </reference>
        </references>
      </pivotArea>
    </chartFormat>
    <chartFormat chart="33" format="63" series="1">
      <pivotArea type="data" outline="0" fieldPosition="0">
        <references count="2">
          <reference field="4294967294" count="1" selected="0">
            <x v="0"/>
          </reference>
          <reference field="2" count="1" selected="0">
            <x v="1"/>
          </reference>
        </references>
      </pivotArea>
    </chartFormat>
    <chartFormat chart="33" format="64" series="1">
      <pivotArea type="data" outline="0" fieldPosition="0">
        <references count="2">
          <reference field="4294967294" count="1" selected="0">
            <x v="0"/>
          </reference>
          <reference field="2" count="1" selected="0">
            <x v="2"/>
          </reference>
        </references>
      </pivotArea>
    </chartFormat>
    <chartFormat chart="33" format="65" series="1">
      <pivotArea type="data" outline="0" fieldPosition="0">
        <references count="2">
          <reference field="4294967294" count="1" selected="0">
            <x v="0"/>
          </reference>
          <reference field="2" count="1" selected="0">
            <x v="3"/>
          </reference>
        </references>
      </pivotArea>
    </chartFormat>
    <chartFormat chart="33" format="66" series="1">
      <pivotArea type="data" outline="0" fieldPosition="0">
        <references count="2">
          <reference field="4294967294" count="1" selected="0">
            <x v="0"/>
          </reference>
          <reference field="2"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C31BFB-07F3-41BB-9797-7BB658816B7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ountry" colHeaderCaption="">
  <location ref="A1:G9"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name="Sum of Salary" fld="2"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FF3140-7EC1-40A1-BDCE-0DAD25DEB601}"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G8" firstHeaderRow="1" firstDataRow="2" firstDataCol="1"/>
  <pivotFields count="7">
    <pivotField axis="axisRow" allDrilled="1" subtotalTop="0" showAll="0" dataSourceSort="1" defaultSubtotal="0" defaultAttributeDrillState="1">
      <items count="1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3">
        <item x="0" e="0"/>
        <item x="1" e="0"/>
        <item x="2" e="0"/>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4">
    <field x="3"/>
    <field x="2"/>
    <field x="1"/>
    <field x="0"/>
  </rowFields>
  <rowItems count="4">
    <i>
      <x/>
    </i>
    <i>
      <x v="1"/>
    </i>
    <i>
      <x v="2"/>
    </i>
    <i t="grand">
      <x/>
    </i>
  </rowItems>
  <colFields count="1">
    <field x="4"/>
  </colFields>
  <colItems count="6">
    <i>
      <x/>
    </i>
    <i>
      <x v="1"/>
    </i>
    <i>
      <x v="2"/>
    </i>
    <i>
      <x v="3"/>
    </i>
    <i>
      <x v="4"/>
    </i>
    <i t="grand">
      <x/>
    </i>
  </colItems>
  <dataFields count="1">
    <dataField name="Count of Employee ID" fld="5" subtotal="count" baseField="0" baseItem="0"/>
  </dataFields>
  <chartFormats count="10">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7" format="20" series="1">
      <pivotArea type="data" outline="0" fieldPosition="0">
        <references count="2">
          <reference field="4294967294" count="1" selected="0">
            <x v="0"/>
          </reference>
          <reference field="4" count="1" selected="0">
            <x v="0"/>
          </reference>
        </references>
      </pivotArea>
    </chartFormat>
    <chartFormat chart="7" format="21" series="1">
      <pivotArea type="data" outline="0" fieldPosition="0">
        <references count="2">
          <reference field="4294967294" count="1" selected="0">
            <x v="0"/>
          </reference>
          <reference field="4" count="1" selected="0">
            <x v="1"/>
          </reference>
        </references>
      </pivotArea>
    </chartFormat>
    <chartFormat chart="7" format="22" series="1">
      <pivotArea type="data" outline="0" fieldPosition="0">
        <references count="2">
          <reference field="4294967294" count="1" selected="0">
            <x v="0"/>
          </reference>
          <reference field="4" count="1" selected="0">
            <x v="2"/>
          </reference>
        </references>
      </pivotArea>
    </chartFormat>
    <chartFormat chart="7" format="23" series="1">
      <pivotArea type="data" outline="0" fieldPosition="0">
        <references count="2">
          <reference field="4294967294" count="1" selected="0">
            <x v="0"/>
          </reference>
          <reference field="4" count="1" selected="0">
            <x v="3"/>
          </reference>
        </references>
      </pivotArea>
    </chartFormat>
    <chartFormat chart="7" format="24" series="1">
      <pivotArea type="data" outline="0" fieldPosition="0">
        <references count="2">
          <reference field="4294967294" count="1" selected="0">
            <x v="0"/>
          </reference>
          <reference field="4"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99029-7DCD-44E0-8EE9-F8B997EE81F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ary Range" colHeaderCaption="">
  <location ref="A1:G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6">
    <i>
      <x/>
    </i>
    <i>
      <x v="1"/>
    </i>
    <i>
      <x v="2"/>
    </i>
    <i>
      <x v="3"/>
    </i>
    <i>
      <x v="4"/>
    </i>
    <i t="grand">
      <x/>
    </i>
  </colItems>
  <dataFields count="1">
    <dataField name="Count of Employee ID" fld="2" subtotal="count"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2">
          <reference field="4294967294" count="1" selected="0">
            <x v="0"/>
          </reference>
          <reference field="1" count="1" selected="0">
            <x v="4"/>
          </reference>
        </references>
      </pivotArea>
    </chartFormat>
    <chartFormat chart="5" format="20" series="1">
      <pivotArea type="data" outline="0" fieldPosition="0">
        <references count="2">
          <reference field="4294967294" count="1" selected="0">
            <x v="0"/>
          </reference>
          <reference field="1" count="1" selected="0">
            <x v="0"/>
          </reference>
        </references>
      </pivotArea>
    </chartFormat>
    <chartFormat chart="5" format="21" series="1">
      <pivotArea type="data" outline="0" fieldPosition="0">
        <references count="2">
          <reference field="4294967294" count="1" selected="0">
            <x v="0"/>
          </reference>
          <reference field="1" count="1" selected="0">
            <x v="1"/>
          </reference>
        </references>
      </pivotArea>
    </chartFormat>
    <chartFormat chart="5" format="22" series="1">
      <pivotArea type="data" outline="0" fieldPosition="0">
        <references count="2">
          <reference field="4294967294" count="1" selected="0">
            <x v="0"/>
          </reference>
          <reference field="1" count="1" selected="0">
            <x v="2"/>
          </reference>
        </references>
      </pivotArea>
    </chartFormat>
    <chartFormat chart="5" format="23" series="1">
      <pivotArea type="data" outline="0" fieldPosition="0">
        <references count="2">
          <reference field="4294967294" count="1" selected="0">
            <x v="0"/>
          </reference>
          <reference field="1" count="1" selected="0">
            <x v="3"/>
          </reference>
        </references>
      </pivotArea>
    </chartFormat>
    <chartFormat chart="5" format="2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Final.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6F7BCB-63C4-45EC-8329-B29188FC3DA9}" autoFormatId="16" applyNumberFormats="0" applyBorderFormats="0" applyFontFormats="0" applyPatternFormats="0" applyAlignmentFormats="0" applyWidthHeightFormats="0">
  <queryTableRefresh nextId="11">
    <queryTableFields count="10">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Salary Range" tableColumnId="9"/>
      <queryTableField id="10" name="Email"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A1535A85-E49B-499D-8CED-3474B3492181}" sourceName="[Table4].[Department]">
  <pivotTables>
    <pivotTable tabId="5" name="PivotTable1"/>
    <pivotTable tabId="4" name="PivotTable2"/>
    <pivotTable tabId="8" name="PivotTable2"/>
    <pivotTable tabId="9" name="PivotTable3"/>
    <pivotTable tabId="6" name="PivotTable3"/>
    <pivotTable tabId="14" name="PivotTable1"/>
  </pivotTables>
  <data>
    <olap pivotCacheId="308565135">
      <levels count="2">
        <level uniqueName="[Table4].[Department].[(All)]" sourceCaption="(All)" count="0"/>
        <level uniqueName="[Table4].[Department].[Department]" sourceCaption="Department" count="5">
          <ranges>
            <range startItem="0">
              <i n="[Table4].[Department].&amp;[Finance]" c="Finance"/>
              <i n="[Table4].[Department].&amp;[HR]" c="HR"/>
              <i n="[Table4].[Department].&amp;[IT]" c="IT"/>
              <i n="[Table4].[Department].&amp;[Marketing]" c="Marketing"/>
              <i n="[Table4].[Department].&amp;[Sales]" c="Sales"/>
            </range>
          </ranges>
        </level>
      </levels>
      <selections count="1">
        <selection n="[Table4].[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B6BF1F-ECC2-4788-9726-4985667AE4A1}" sourceName="[Table4].[Gender]">
  <pivotTables>
    <pivotTable tabId="8" name="PivotTable2"/>
  </pivotTables>
  <data>
    <olap pivotCacheId="308565135">
      <levels count="2">
        <level uniqueName="[Table4].[Gender].[(All)]" sourceCaption="(All)" count="0"/>
        <level uniqueName="[Table4].[Gender].[Gender]" sourceCaption="Gender" count="4">
          <ranges>
            <range startItem="0">
              <i n="[Table4].[Gender].&amp;[Female]" c="Female"/>
              <i n="[Table4].[Gender].&amp;[Male]" c="Male"/>
              <i n="[Table4].[Gender].&amp;[Other]" c="Other"/>
              <i n="[Table4].[Gender].&amp;[Unknown]" c="Unknown"/>
            </range>
          </ranges>
        </level>
      </levels>
      <selections count="1">
        <selection n="[Table4].[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C0A9CB84-CC81-4BB7-8DBA-60AFEC10E461}" sourceName="[Table4].[Performance Rating]">
  <pivotTables>
    <pivotTable tabId="9" name="PivotTable3"/>
  </pivotTables>
  <data>
    <olap pivotCacheId="308565135">
      <levels count="2">
        <level uniqueName="[Table4].[Performance Rating].[(All)]" sourceCaption="(All)" count="0"/>
        <level uniqueName="[Table4].[Performance Rating].[Performance Rating]" sourceCaption="Performance Rating" count="5">
          <ranges>
            <range startItem="0">
              <i n="[Table4].[Performance Rating].&amp;[1]" c="1"/>
              <i n="[Table4].[Performance Rating].&amp;[2]" c="2"/>
              <i n="[Table4].[Performance Rating].&amp;[3]" c="3"/>
              <i n="[Table4].[Performance Rating].&amp;[4]" c="4"/>
              <i n="[Table4].[Performance Rating].&amp;[5]" c="5"/>
            </range>
          </ranges>
        </level>
      </levels>
      <selections count="1">
        <selection n="[Table4].[Performance Rating].&amp;[1]"/>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67768693-77A5-4E24-9C0E-62B3FB0ED3A0}" sourceName="[Table4].[Salary Range]">
  <pivotTables>
    <pivotTable tabId="6" name="PivotTable3"/>
  </pivotTables>
  <data>
    <olap pivotCacheId="308565135">
      <levels count="2">
        <level uniqueName="[Table4].[Salary Range].[(All)]" sourceCaption="(All)" count="0"/>
        <level uniqueName="[Table4].[Salary Range].[Salary Range]" sourceCaption="Salary Range" count="3">
          <ranges>
            <range startItem="0">
              <i n="[Table4].[Salary Range].&amp;[High Salary]" c="High Salary"/>
              <i n="[Table4].[Salary Range].&amp;[low salary]" c="low salary"/>
              <i n="[Table4].[Salary Range].&amp;[Normal Salary]" c="Normal Salary"/>
            </range>
          </ranges>
        </level>
      </levels>
      <selections count="1">
        <selection n="[Table4].[Salary Ran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1" xr10:uid="{34CC4943-DD03-4E82-9CA7-4E2C8E9DF293}" sourceName="[Table4].[Performance Rating]">
  <pivotTables>
    <pivotTable tabId="14" name="PivotTable1"/>
  </pivotTables>
  <data>
    <olap pivotCacheId="308565135">
      <levels count="2">
        <level uniqueName="[Table4].[Performance Rating].[(All)]" sourceCaption="(All)" count="0"/>
        <level uniqueName="[Table4].[Performance Rating].[Performance Rating]" sourceCaption="Performance Rating" count="5">
          <ranges>
            <range startItem="0">
              <i n="[Table4].[Performance Rating].&amp;[1]" c="1"/>
              <i n="[Table4].[Performance Rating].&amp;[2]" c="2"/>
              <i n="[Table4].[Performance Rating].&amp;[3]" c="3"/>
              <i n="[Table4].[Performance Rating].&amp;[4]" c="4"/>
              <i n="[Table4].[Performance Rating].&amp;[5]" c="5"/>
            </range>
          </ranges>
        </level>
      </levels>
      <selections count="1">
        <selection n="[Table4].[Performance Ratin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095306C2-3FDF-4718-8460-78A5F8425DB6}" sourceName="[Table4].[Country]">
  <pivotTables>
    <pivotTable tabId="5" name="PivotTable1"/>
    <pivotTable tabId="4" name="PivotTable2"/>
    <pivotTable tabId="8" name="PivotTable2"/>
    <pivotTable tabId="9" name="PivotTable3"/>
    <pivotTable tabId="6" name="PivotTable3"/>
    <pivotTable tabId="14" name="PivotTable1"/>
  </pivotTables>
  <data>
    <olap pivotCacheId="308565135">
      <levels count="2">
        <level uniqueName="[Table4].[Country].[(All)]" sourceCaption="(All)" count="0"/>
        <level uniqueName="[Table4].[Country].[Country]" sourceCaption="Country" count="6">
          <ranges>
            <range startItem="0">
              <i n="[Table4].[Country].&amp;[Australia]" c="Australia"/>
              <i n="[Table4].[Country].&amp;[Germany]" c="Germany"/>
              <i n="[Table4].[Country].&amp;[India]" c="India"/>
              <i n="[Table4].[Country].&amp;[UK]" c="UK"/>
              <i n="[Table4].[Country].&amp;[Unknown]" c="Unknown"/>
              <i n="[Table4].[Country].&amp;[USA]" c="USA"/>
            </range>
          </ranges>
        </level>
      </levels>
      <selections count="1">
        <selection n="[Table4].[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3D87DCED-F931-437E-8AA1-D53EF1210A05}" cache="Slicer_Department2" caption="Departm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AB195E6-42FC-4B02-8EF4-9D04FAF073CE}" cache="Slicer_Gender" caption="Gender"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0598E8CE-ACD3-4AF3-AD14-E83EF7FEE422}" cache="Slicer_Department2" caption="Department" level="1" rowHeight="234950"/>
  <slicer name="Performance Rating" xr10:uid="{BD635D8E-66E4-4D9B-8A37-90EAFC98CABF}" cache="Slicer_Performance_Rating" caption="Performance Rating"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9F5991-A866-4AEB-8A34-672C3C1840BC}" cache="Slicer_Department2" caption="Department" level="1" rowHeight="234950"/>
  <slicer name="Country" xr10:uid="{11F74A3F-E196-4F95-9EFD-E016E2A7AD94}" cache="Slicer_Country1" caption="Country"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Rating 1" xr10:uid="{6C0263B5-0C9F-4759-8346-63F6522A22E7}" cache="Slicer_Performance_Rating1" caption="Performance Rating"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2F03D92-BF83-4BD6-83D5-D709AF9234D1}" cache="Slicer_Department2" caption="Department" level="1" rowHeight="234950"/>
  <slicer name="Salary Range" xr10:uid="{D4E111A1-9D24-43B6-BDDE-7CE93E1DD9AD}" cache="Slicer_Salary_Range" caption="Salary Rang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85F9C3D6-377C-4AFF-8FD3-7F92A8E0A9AA}" cache="Slicer_Department2" caption="Department" level="1" rowHeight="234950"/>
  <slicer name="Country 1" xr10:uid="{9E66A7B3-D36F-4D01-A889-06C07D4FA224}" cache="Slicer_Country1" caption="Count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C88B84-009A-4837-AC4D-B53DF020A7A0}" name="Table4__2" displayName="Table4__2" ref="A1:J151" tableType="queryTable" totalsRowShown="0">
  <autoFilter ref="A1:J151" xr:uid="{8AC88B84-009A-4837-AC4D-B53DF020A7A0}"/>
  <tableColumns count="10">
    <tableColumn id="1" xr3:uid="{80A2AFE0-4A5B-4089-9323-1435F1D1778E}" uniqueName="1" name="Employee ID" queryTableFieldId="1"/>
    <tableColumn id="2" xr3:uid="{AF0F0D35-9745-441E-8FC3-998D3F499112}" uniqueName="2" name="Name" queryTableFieldId="2"/>
    <tableColumn id="3" xr3:uid="{B44F141A-C10D-45E3-9778-337F81EE5EEE}" uniqueName="3" name="Department" queryTableFieldId="3"/>
    <tableColumn id="4" xr3:uid="{45471FC0-AE67-4831-9F32-FC1ADDF7E511}" uniqueName="4" name="Country" queryTableFieldId="4"/>
    <tableColumn id="5" xr3:uid="{04A6C258-FC0C-450E-BB63-AFAD587D0A7B}" uniqueName="5" name="Salary" queryTableFieldId="5"/>
    <tableColumn id="6" xr3:uid="{DD9F4C7F-3395-47AF-82F7-F82A323EA6D7}" uniqueName="6" name="Date of Joining" queryTableFieldId="6" dataDxfId="1"/>
    <tableColumn id="7" xr3:uid="{BE21B611-DEC6-4290-8B3A-02520FA8B9E6}" uniqueName="7" name="Performance Rating" queryTableFieldId="7"/>
    <tableColumn id="8" xr3:uid="{C95B79C3-03F0-4A44-A596-C7D0838C85B7}" uniqueName="8" name="Gender" queryTableFieldId="8"/>
    <tableColumn id="9" xr3:uid="{1F1F8516-B339-44F1-91A9-3AC925A0FDBB}" uniqueName="9" name="Salary Range" queryTableFieldId="9" dataDxfId="0"/>
    <tableColumn id="10" xr3:uid="{DD3EEB31-A4F6-4E0D-BFED-1E0B2D2F0CB0}" uniqueName="10" name="Email"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3A597A5-E2A0-46F1-8A2C-E1057FF6DD26}" name="Table4" displayName="Table4" ref="A1:J151" totalsRowShown="0" headerRowDxfId="19" headerRowBorderDxfId="18" tableBorderDxfId="17" totalsRowBorderDxfId="16">
  <autoFilter ref="A1:J151" xr:uid="{93A597A5-E2A0-46F1-8A2C-E1057FF6DD26}"/>
  <tableColumns count="10">
    <tableColumn id="1" xr3:uid="{97040252-9CC9-49CE-95EB-1B5D498700E2}" name="Employee ID" dataDxfId="15"/>
    <tableColumn id="2" xr3:uid="{30F128FB-53FC-4473-8195-615B23EEEDC3}" name="Name" dataDxfId="14"/>
    <tableColumn id="3" xr3:uid="{406DA27C-4222-45CB-804F-65DC5672FDAF}" name="Department" dataDxfId="13"/>
    <tableColumn id="4" xr3:uid="{B30E1606-F7C8-40C4-8E7C-8ECBCA6AD3E6}" name="Country" dataDxfId="12"/>
    <tableColumn id="5" xr3:uid="{7FA6086E-23BF-4CB7-B295-0797EFE2806D}" name="Salary" dataDxfId="11"/>
    <tableColumn id="13" xr3:uid="{971D360B-0CF7-4B0E-BFE2-C24222ED5CDD}" name="Date of Joining" dataDxfId="10"/>
    <tableColumn id="12" xr3:uid="{345CD927-DBC7-4441-951D-83A8F9AA534B}" name="Performance Rating" dataDxfId="9"/>
    <tableColumn id="8" xr3:uid="{23AF8A97-6434-4BD9-9F05-6F95A9934882}" name="Gender" dataDxfId="8"/>
    <tableColumn id="9" xr3:uid="{A7DFF8AA-8342-4CF0-9858-AB2B53162004}" name="Salary Range" dataDxfId="7">
      <calculatedColumnFormula>IF(E2&gt;75000,"High Salary",IF(E2&gt;50000,"Normal Salary","low salary"))</calculatedColumnFormula>
    </tableColumn>
    <tableColumn id="10" xr3:uid="{81FEF57D-E9A3-4099-B5B3-0714CD6AAD58}" name="Email" dataDxfId="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9A01B8-E82B-4D04-92CC-83301B45F5AB}" name="Table1" displayName="Table1" ref="A1:E188" totalsRowShown="0">
  <autoFilter ref="A1:E188" xr:uid="{E69A01B8-E82B-4D04-92CC-83301B45F5AB}"/>
  <tableColumns count="5">
    <tableColumn id="1" xr3:uid="{AB61FAF5-24A2-49F8-94D0-E66E4B932E99}" name="Date of Joining" dataDxfId="5"/>
    <tableColumn id="2" xr3:uid="{64E22111-1267-4FAD-BCBC-896DBEF63000}" name="Performance Rating"/>
    <tableColumn id="3" xr3:uid="{01274271-5B46-4C65-A502-BAC02999B62A}" name="Forecast                 (Performance Rating)" dataDxfId="4">
      <calculatedColumnFormula>_xlfn.FORECAST.ETS(A2,$B$2:$B$150,$A$2:$A$150,1,1)</calculatedColumnFormula>
    </tableColumn>
    <tableColumn id="4" xr3:uid="{4593AF52-6D8D-4F20-AD28-1E720ECBACB7}" name="Lower Confidence Bound (Performance Rating)" dataDxfId="3">
      <calculatedColumnFormula>C2-_xlfn.FORECAST.ETS.CONFINT(A2,$B$2:$B$150,$A$2:$A$150,0.95,1,1)</calculatedColumnFormula>
    </tableColumn>
    <tableColumn id="5" xr3:uid="{62FFD883-E8A5-4DDD-A83C-C0FA0053B45E}" name="Upper Confidence Bound (Performance Rating)" dataDxfId="2">
      <calculatedColumnFormula>C2+_xlfn.FORECAST.ETS.CONFINT(A2,$B$2:$B$150,$A$2:$A$150,0.95,1,1)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2A1D-7B2C-4803-AEA6-9D2841D15BAA}">
  <dimension ref="A1:J151"/>
  <sheetViews>
    <sheetView workbookViewId="0">
      <selection activeCell="O7" sqref="O7"/>
    </sheetView>
  </sheetViews>
  <sheetFormatPr defaultRowHeight="14.4" x14ac:dyDescent="0.3"/>
  <cols>
    <col min="1" max="1" width="13.77734375" bestFit="1" customWidth="1"/>
    <col min="2" max="2" width="11.33203125" bestFit="1" customWidth="1"/>
    <col min="3" max="3" width="13.33203125" bestFit="1" customWidth="1"/>
    <col min="4" max="4" width="10" bestFit="1" customWidth="1"/>
    <col min="5" max="5" width="8.33203125" bestFit="1" customWidth="1"/>
    <col min="6" max="6" width="15.77734375" bestFit="1" customWidth="1"/>
    <col min="7" max="7" width="20.109375" bestFit="1" customWidth="1"/>
    <col min="8" max="8" width="9.33203125" bestFit="1" customWidth="1"/>
    <col min="9" max="9" width="14" bestFit="1" customWidth="1"/>
    <col min="10" max="10" width="20.44140625" bestFit="1" customWidth="1"/>
  </cols>
  <sheetData>
    <row r="1" spans="1:10" x14ac:dyDescent="0.3">
      <c r="A1" t="s">
        <v>0</v>
      </c>
      <c r="B1" t="s">
        <v>1</v>
      </c>
      <c r="C1" t="s">
        <v>2</v>
      </c>
      <c r="D1" t="s">
        <v>3</v>
      </c>
      <c r="E1" t="s">
        <v>4</v>
      </c>
      <c r="F1" t="s">
        <v>5</v>
      </c>
      <c r="G1" t="s">
        <v>6</v>
      </c>
      <c r="H1" t="s">
        <v>7</v>
      </c>
      <c r="I1" t="s">
        <v>279</v>
      </c>
      <c r="J1" t="s">
        <v>8</v>
      </c>
    </row>
    <row r="2" spans="1:10" x14ac:dyDescent="0.3">
      <c r="A2" t="s">
        <v>9</v>
      </c>
      <c r="B2" t="s">
        <v>176</v>
      </c>
      <c r="C2" t="s">
        <v>166</v>
      </c>
      <c r="D2" t="s">
        <v>176</v>
      </c>
      <c r="E2">
        <v>66281</v>
      </c>
      <c r="F2" s="23">
        <v>42196</v>
      </c>
      <c r="G2">
        <v>2</v>
      </c>
      <c r="H2" t="s">
        <v>176</v>
      </c>
      <c r="I2" s="28" t="s">
        <v>281</v>
      </c>
      <c r="J2" t="s">
        <v>180</v>
      </c>
    </row>
    <row r="3" spans="1:10" x14ac:dyDescent="0.3">
      <c r="A3" t="s">
        <v>10</v>
      </c>
      <c r="B3" t="s">
        <v>159</v>
      </c>
      <c r="C3" t="s">
        <v>167</v>
      </c>
      <c r="D3" t="s">
        <v>171</v>
      </c>
      <c r="E3">
        <v>54255</v>
      </c>
      <c r="F3" s="23">
        <v>42015</v>
      </c>
      <c r="G3">
        <v>1</v>
      </c>
      <c r="H3" t="s">
        <v>177</v>
      </c>
      <c r="I3" s="28" t="s">
        <v>281</v>
      </c>
      <c r="J3" t="s">
        <v>181</v>
      </c>
    </row>
    <row r="4" spans="1:10" x14ac:dyDescent="0.3">
      <c r="A4" t="s">
        <v>11</v>
      </c>
      <c r="B4" t="s">
        <v>160</v>
      </c>
      <c r="C4" t="s">
        <v>166</v>
      </c>
      <c r="D4" t="s">
        <v>171</v>
      </c>
      <c r="E4">
        <v>63184</v>
      </c>
      <c r="F4" s="23">
        <v>42022</v>
      </c>
      <c r="G4">
        <v>2</v>
      </c>
      <c r="H4" t="s">
        <v>176</v>
      </c>
      <c r="I4" s="28" t="s">
        <v>281</v>
      </c>
      <c r="J4" t="s">
        <v>182</v>
      </c>
    </row>
    <row r="5" spans="1:10" x14ac:dyDescent="0.3">
      <c r="A5" t="s">
        <v>12</v>
      </c>
      <c r="B5" t="s">
        <v>161</v>
      </c>
      <c r="C5" t="s">
        <v>168</v>
      </c>
      <c r="D5" t="s">
        <v>172</v>
      </c>
      <c r="E5">
        <v>94406</v>
      </c>
      <c r="F5" s="23">
        <v>42029</v>
      </c>
      <c r="G5">
        <v>1</v>
      </c>
      <c r="H5" t="s">
        <v>178</v>
      </c>
      <c r="I5" s="28" t="s">
        <v>282</v>
      </c>
      <c r="J5" t="s">
        <v>183</v>
      </c>
    </row>
    <row r="6" spans="1:10" x14ac:dyDescent="0.3">
      <c r="A6" t="s">
        <v>13</v>
      </c>
      <c r="B6" t="s">
        <v>162</v>
      </c>
      <c r="C6" t="s">
        <v>168</v>
      </c>
      <c r="D6" t="s">
        <v>171</v>
      </c>
      <c r="E6">
        <v>64120</v>
      </c>
      <c r="F6" s="23">
        <v>42036</v>
      </c>
      <c r="G6">
        <v>1</v>
      </c>
      <c r="H6" t="s">
        <v>178</v>
      </c>
      <c r="I6" s="28" t="s">
        <v>281</v>
      </c>
      <c r="J6" t="s">
        <v>184</v>
      </c>
    </row>
    <row r="7" spans="1:10" x14ac:dyDescent="0.3">
      <c r="A7" t="s">
        <v>14</v>
      </c>
      <c r="B7" t="s">
        <v>160</v>
      </c>
      <c r="C7" t="s">
        <v>169</v>
      </c>
      <c r="D7" t="s">
        <v>173</v>
      </c>
      <c r="E7">
        <v>78421</v>
      </c>
      <c r="F7" s="23">
        <v>42043</v>
      </c>
      <c r="G7">
        <v>2</v>
      </c>
      <c r="H7" t="s">
        <v>179</v>
      </c>
      <c r="I7" s="28" t="s">
        <v>282</v>
      </c>
      <c r="J7" t="s">
        <v>185</v>
      </c>
    </row>
    <row r="8" spans="1:10" x14ac:dyDescent="0.3">
      <c r="A8" t="s">
        <v>15</v>
      </c>
      <c r="B8" t="s">
        <v>163</v>
      </c>
      <c r="C8" t="s">
        <v>168</v>
      </c>
      <c r="D8" t="s">
        <v>176</v>
      </c>
      <c r="E8">
        <v>67721</v>
      </c>
      <c r="F8" s="23">
        <v>42050</v>
      </c>
      <c r="G8">
        <v>3</v>
      </c>
      <c r="H8" t="s">
        <v>178</v>
      </c>
      <c r="I8" s="28" t="s">
        <v>281</v>
      </c>
      <c r="J8" t="s">
        <v>183</v>
      </c>
    </row>
    <row r="9" spans="1:10" x14ac:dyDescent="0.3">
      <c r="A9" t="s">
        <v>16</v>
      </c>
      <c r="B9" t="s">
        <v>164</v>
      </c>
      <c r="C9" t="s">
        <v>170</v>
      </c>
      <c r="D9" t="s">
        <v>176</v>
      </c>
      <c r="E9">
        <v>35364</v>
      </c>
      <c r="F9" s="23">
        <v>42057</v>
      </c>
      <c r="G9">
        <v>2</v>
      </c>
      <c r="H9" t="s">
        <v>177</v>
      </c>
      <c r="I9" s="28" t="s">
        <v>310</v>
      </c>
      <c r="J9" t="s">
        <v>186</v>
      </c>
    </row>
    <row r="10" spans="1:10" x14ac:dyDescent="0.3">
      <c r="A10" t="s">
        <v>17</v>
      </c>
      <c r="B10" t="s">
        <v>160</v>
      </c>
      <c r="C10" t="s">
        <v>169</v>
      </c>
      <c r="D10" t="s">
        <v>171</v>
      </c>
      <c r="E10">
        <v>97881</v>
      </c>
      <c r="F10" s="23">
        <v>42064</v>
      </c>
      <c r="G10">
        <v>3</v>
      </c>
      <c r="H10" t="s">
        <v>179</v>
      </c>
      <c r="I10" s="28" t="s">
        <v>282</v>
      </c>
      <c r="J10" t="s">
        <v>187</v>
      </c>
    </row>
    <row r="11" spans="1:10" x14ac:dyDescent="0.3">
      <c r="A11" t="s">
        <v>18</v>
      </c>
      <c r="B11" t="s">
        <v>164</v>
      </c>
      <c r="C11" t="s">
        <v>167</v>
      </c>
      <c r="D11" t="s">
        <v>174</v>
      </c>
      <c r="E11">
        <v>91846</v>
      </c>
      <c r="F11" s="23">
        <v>42071</v>
      </c>
      <c r="G11">
        <v>3</v>
      </c>
      <c r="H11" t="s">
        <v>178</v>
      </c>
      <c r="I11" s="28" t="s">
        <v>282</v>
      </c>
      <c r="J11" t="s">
        <v>188</v>
      </c>
    </row>
    <row r="12" spans="1:10" x14ac:dyDescent="0.3">
      <c r="A12" t="s">
        <v>19</v>
      </c>
      <c r="B12" t="s">
        <v>163</v>
      </c>
      <c r="C12" t="s">
        <v>166</v>
      </c>
      <c r="D12" t="s">
        <v>174</v>
      </c>
      <c r="E12">
        <v>64247</v>
      </c>
      <c r="F12" s="23">
        <v>42078</v>
      </c>
      <c r="G12">
        <v>1</v>
      </c>
      <c r="H12" t="s">
        <v>179</v>
      </c>
      <c r="I12" s="28" t="s">
        <v>281</v>
      </c>
      <c r="J12" t="s">
        <v>189</v>
      </c>
    </row>
    <row r="13" spans="1:10" x14ac:dyDescent="0.3">
      <c r="A13" t="s">
        <v>20</v>
      </c>
      <c r="B13" t="s">
        <v>163</v>
      </c>
      <c r="C13" t="s">
        <v>169</v>
      </c>
      <c r="D13" t="s">
        <v>172</v>
      </c>
      <c r="E13">
        <v>91180</v>
      </c>
      <c r="F13" s="23">
        <v>42085</v>
      </c>
      <c r="G13">
        <v>5</v>
      </c>
      <c r="H13" t="s">
        <v>178</v>
      </c>
      <c r="I13" s="28" t="s">
        <v>282</v>
      </c>
      <c r="J13" t="s">
        <v>190</v>
      </c>
    </row>
    <row r="14" spans="1:10" x14ac:dyDescent="0.3">
      <c r="A14" t="s">
        <v>21</v>
      </c>
      <c r="B14" t="s">
        <v>165</v>
      </c>
      <c r="C14" t="s">
        <v>168</v>
      </c>
      <c r="D14" t="s">
        <v>176</v>
      </c>
      <c r="E14">
        <v>96418</v>
      </c>
      <c r="F14" s="23">
        <v>42092</v>
      </c>
      <c r="G14">
        <v>5</v>
      </c>
      <c r="H14" t="s">
        <v>178</v>
      </c>
      <c r="I14" s="28" t="s">
        <v>282</v>
      </c>
      <c r="J14" t="s">
        <v>181</v>
      </c>
    </row>
    <row r="15" spans="1:10" x14ac:dyDescent="0.3">
      <c r="A15" t="s">
        <v>22</v>
      </c>
      <c r="B15" t="s">
        <v>163</v>
      </c>
      <c r="C15" t="s">
        <v>170</v>
      </c>
      <c r="D15" t="s">
        <v>173</v>
      </c>
      <c r="E15">
        <v>62158</v>
      </c>
      <c r="F15" s="23">
        <v>42099</v>
      </c>
      <c r="G15">
        <v>4</v>
      </c>
      <c r="H15" t="s">
        <v>176</v>
      </c>
      <c r="I15" s="28" t="s">
        <v>281</v>
      </c>
      <c r="J15" t="s">
        <v>191</v>
      </c>
    </row>
    <row r="16" spans="1:10" x14ac:dyDescent="0.3">
      <c r="A16" t="s">
        <v>23</v>
      </c>
      <c r="B16" t="s">
        <v>162</v>
      </c>
      <c r="C16" t="s">
        <v>167</v>
      </c>
      <c r="D16" t="s">
        <v>176</v>
      </c>
      <c r="E16">
        <v>59894</v>
      </c>
      <c r="F16" s="23">
        <v>42106</v>
      </c>
      <c r="G16">
        <v>2</v>
      </c>
      <c r="H16" t="s">
        <v>178</v>
      </c>
      <c r="I16" s="28" t="s">
        <v>281</v>
      </c>
      <c r="J16" t="s">
        <v>192</v>
      </c>
    </row>
    <row r="17" spans="1:10" x14ac:dyDescent="0.3">
      <c r="A17" t="s">
        <v>24</v>
      </c>
      <c r="B17" t="s">
        <v>176</v>
      </c>
      <c r="C17" t="s">
        <v>169</v>
      </c>
      <c r="D17" t="s">
        <v>173</v>
      </c>
      <c r="E17">
        <v>92443</v>
      </c>
      <c r="F17" s="23">
        <v>42113</v>
      </c>
      <c r="G17">
        <v>3</v>
      </c>
      <c r="H17" t="s">
        <v>177</v>
      </c>
      <c r="I17" s="28" t="s">
        <v>282</v>
      </c>
      <c r="J17" t="s">
        <v>193</v>
      </c>
    </row>
    <row r="18" spans="1:10" x14ac:dyDescent="0.3">
      <c r="A18" t="s">
        <v>25</v>
      </c>
      <c r="B18" t="s">
        <v>165</v>
      </c>
      <c r="C18" t="s">
        <v>170</v>
      </c>
      <c r="D18" t="s">
        <v>171</v>
      </c>
      <c r="E18">
        <v>90271</v>
      </c>
      <c r="F18" s="23">
        <v>42120</v>
      </c>
      <c r="G18">
        <v>3</v>
      </c>
      <c r="H18" t="s">
        <v>176</v>
      </c>
      <c r="I18" s="28" t="s">
        <v>282</v>
      </c>
      <c r="J18" t="s">
        <v>194</v>
      </c>
    </row>
    <row r="19" spans="1:10" x14ac:dyDescent="0.3">
      <c r="A19" t="s">
        <v>26</v>
      </c>
      <c r="B19" t="s">
        <v>162</v>
      </c>
      <c r="C19" t="s">
        <v>166</v>
      </c>
      <c r="D19" t="s">
        <v>175</v>
      </c>
      <c r="E19">
        <v>41341</v>
      </c>
      <c r="F19" s="23">
        <v>42127</v>
      </c>
      <c r="G19">
        <v>1</v>
      </c>
      <c r="H19" t="s">
        <v>177</v>
      </c>
      <c r="I19" s="28" t="s">
        <v>310</v>
      </c>
      <c r="J19" t="s">
        <v>195</v>
      </c>
    </row>
    <row r="20" spans="1:10" x14ac:dyDescent="0.3">
      <c r="A20" t="s">
        <v>27</v>
      </c>
      <c r="B20" t="s">
        <v>160</v>
      </c>
      <c r="C20" t="s">
        <v>166</v>
      </c>
      <c r="D20" t="s">
        <v>174</v>
      </c>
      <c r="E20">
        <v>73602</v>
      </c>
      <c r="F20" s="23">
        <v>42134</v>
      </c>
      <c r="G20">
        <v>3</v>
      </c>
      <c r="H20" t="s">
        <v>176</v>
      </c>
      <c r="I20" s="28" t="s">
        <v>281</v>
      </c>
      <c r="J20" t="s">
        <v>196</v>
      </c>
    </row>
    <row r="21" spans="1:10" x14ac:dyDescent="0.3">
      <c r="A21" t="s">
        <v>28</v>
      </c>
      <c r="B21" t="s">
        <v>159</v>
      </c>
      <c r="C21" t="s">
        <v>170</v>
      </c>
      <c r="D21" t="s">
        <v>173</v>
      </c>
      <c r="E21">
        <v>67531</v>
      </c>
      <c r="F21" s="23">
        <v>42141</v>
      </c>
      <c r="G21">
        <v>5</v>
      </c>
      <c r="H21" t="s">
        <v>179</v>
      </c>
      <c r="I21" s="28" t="s">
        <v>281</v>
      </c>
      <c r="J21" t="s">
        <v>197</v>
      </c>
    </row>
    <row r="22" spans="1:10" x14ac:dyDescent="0.3">
      <c r="A22" t="s">
        <v>29</v>
      </c>
      <c r="B22" t="s">
        <v>162</v>
      </c>
      <c r="C22" t="s">
        <v>167</v>
      </c>
      <c r="D22" t="s">
        <v>172</v>
      </c>
      <c r="E22">
        <v>66281</v>
      </c>
      <c r="F22" s="23">
        <v>42148</v>
      </c>
      <c r="G22">
        <v>2</v>
      </c>
      <c r="H22" t="s">
        <v>177</v>
      </c>
      <c r="I22" s="28" t="s">
        <v>281</v>
      </c>
      <c r="J22" t="s">
        <v>198</v>
      </c>
    </row>
    <row r="23" spans="1:10" x14ac:dyDescent="0.3">
      <c r="A23" t="s">
        <v>30</v>
      </c>
      <c r="B23" t="s">
        <v>162</v>
      </c>
      <c r="C23" t="s">
        <v>167</v>
      </c>
      <c r="D23" t="s">
        <v>176</v>
      </c>
      <c r="E23">
        <v>98922</v>
      </c>
      <c r="F23" s="23">
        <v>42155</v>
      </c>
      <c r="G23">
        <v>4</v>
      </c>
      <c r="H23" t="s">
        <v>176</v>
      </c>
      <c r="I23" s="28" t="s">
        <v>282</v>
      </c>
      <c r="J23" t="s">
        <v>199</v>
      </c>
    </row>
    <row r="24" spans="1:10" x14ac:dyDescent="0.3">
      <c r="A24" t="s">
        <v>31</v>
      </c>
      <c r="B24" t="s">
        <v>159</v>
      </c>
      <c r="C24" t="s">
        <v>166</v>
      </c>
      <c r="D24" t="s">
        <v>173</v>
      </c>
      <c r="E24">
        <v>38333</v>
      </c>
      <c r="F24" s="23">
        <v>42162</v>
      </c>
      <c r="G24">
        <v>5</v>
      </c>
      <c r="H24" t="s">
        <v>176</v>
      </c>
      <c r="I24" s="28" t="s">
        <v>310</v>
      </c>
      <c r="J24" t="s">
        <v>200</v>
      </c>
    </row>
    <row r="25" spans="1:10" x14ac:dyDescent="0.3">
      <c r="A25" t="s">
        <v>32</v>
      </c>
      <c r="B25" t="s">
        <v>160</v>
      </c>
      <c r="C25" t="s">
        <v>170</v>
      </c>
      <c r="D25" t="s">
        <v>174</v>
      </c>
      <c r="E25">
        <v>36515</v>
      </c>
      <c r="F25" s="23">
        <v>42169</v>
      </c>
      <c r="G25">
        <v>3</v>
      </c>
      <c r="H25" t="s">
        <v>178</v>
      </c>
      <c r="I25" s="28" t="s">
        <v>310</v>
      </c>
      <c r="J25" t="s">
        <v>201</v>
      </c>
    </row>
    <row r="26" spans="1:10" x14ac:dyDescent="0.3">
      <c r="A26" t="s">
        <v>33</v>
      </c>
      <c r="B26" t="s">
        <v>163</v>
      </c>
      <c r="C26" t="s">
        <v>166</v>
      </c>
      <c r="D26" t="s">
        <v>176</v>
      </c>
      <c r="E26">
        <v>91005</v>
      </c>
      <c r="F26" s="23">
        <v>42176</v>
      </c>
      <c r="G26">
        <v>1</v>
      </c>
      <c r="H26" t="s">
        <v>177</v>
      </c>
      <c r="I26" s="28" t="s">
        <v>282</v>
      </c>
      <c r="J26" t="s">
        <v>202</v>
      </c>
    </row>
    <row r="27" spans="1:10" x14ac:dyDescent="0.3">
      <c r="A27" t="s">
        <v>34</v>
      </c>
      <c r="B27" t="s">
        <v>164</v>
      </c>
      <c r="C27" t="s">
        <v>170</v>
      </c>
      <c r="D27" t="s">
        <v>176</v>
      </c>
      <c r="E27">
        <v>52272</v>
      </c>
      <c r="F27" s="23">
        <v>42183</v>
      </c>
      <c r="G27">
        <v>3</v>
      </c>
      <c r="H27" t="s">
        <v>176</v>
      </c>
      <c r="I27" s="28" t="s">
        <v>281</v>
      </c>
      <c r="J27" t="s">
        <v>203</v>
      </c>
    </row>
    <row r="28" spans="1:10" x14ac:dyDescent="0.3">
      <c r="A28" t="s">
        <v>35</v>
      </c>
      <c r="B28" t="s">
        <v>159</v>
      </c>
      <c r="C28" t="s">
        <v>168</v>
      </c>
      <c r="D28" t="s">
        <v>171</v>
      </c>
      <c r="E28">
        <v>76518</v>
      </c>
      <c r="F28" s="23">
        <v>42190</v>
      </c>
      <c r="G28">
        <v>2</v>
      </c>
      <c r="H28" t="s">
        <v>179</v>
      </c>
      <c r="I28" s="28" t="s">
        <v>282</v>
      </c>
      <c r="J28" t="s">
        <v>204</v>
      </c>
    </row>
    <row r="29" spans="1:10" x14ac:dyDescent="0.3">
      <c r="A29" t="s">
        <v>36</v>
      </c>
      <c r="B29" t="s">
        <v>160</v>
      </c>
      <c r="C29" t="s">
        <v>169</v>
      </c>
      <c r="D29" t="s">
        <v>174</v>
      </c>
      <c r="E29">
        <v>41448</v>
      </c>
      <c r="F29" s="23">
        <v>42197</v>
      </c>
      <c r="G29">
        <v>3</v>
      </c>
      <c r="H29" t="s">
        <v>177</v>
      </c>
      <c r="I29" s="28" t="s">
        <v>310</v>
      </c>
      <c r="J29" t="s">
        <v>205</v>
      </c>
    </row>
    <row r="30" spans="1:10" x14ac:dyDescent="0.3">
      <c r="A30" t="s">
        <v>37</v>
      </c>
      <c r="B30" t="s">
        <v>161</v>
      </c>
      <c r="C30" t="s">
        <v>167</v>
      </c>
      <c r="D30" t="s">
        <v>174</v>
      </c>
      <c r="E30">
        <v>49282</v>
      </c>
      <c r="F30" s="23">
        <v>42204</v>
      </c>
      <c r="G30">
        <v>2</v>
      </c>
      <c r="H30" t="s">
        <v>179</v>
      </c>
      <c r="I30" s="28" t="s">
        <v>310</v>
      </c>
      <c r="J30" t="s">
        <v>206</v>
      </c>
    </row>
    <row r="31" spans="1:10" x14ac:dyDescent="0.3">
      <c r="A31" t="s">
        <v>38</v>
      </c>
      <c r="B31" t="s">
        <v>165</v>
      </c>
      <c r="C31" t="s">
        <v>170</v>
      </c>
      <c r="D31" t="s">
        <v>174</v>
      </c>
      <c r="E31">
        <v>92959</v>
      </c>
      <c r="F31" s="23">
        <v>42211</v>
      </c>
      <c r="G31">
        <v>5</v>
      </c>
      <c r="H31" t="s">
        <v>176</v>
      </c>
      <c r="I31" s="28" t="s">
        <v>282</v>
      </c>
      <c r="J31" t="s">
        <v>207</v>
      </c>
    </row>
    <row r="32" spans="1:10" x14ac:dyDescent="0.3">
      <c r="A32" t="s">
        <v>39</v>
      </c>
      <c r="B32" t="s">
        <v>176</v>
      </c>
      <c r="C32" t="s">
        <v>170</v>
      </c>
      <c r="D32" t="s">
        <v>176</v>
      </c>
      <c r="E32">
        <v>92259</v>
      </c>
      <c r="F32" s="23">
        <v>42196</v>
      </c>
      <c r="G32">
        <v>1</v>
      </c>
      <c r="H32" t="s">
        <v>176</v>
      </c>
      <c r="I32" s="28" t="s">
        <v>282</v>
      </c>
      <c r="J32" t="s">
        <v>208</v>
      </c>
    </row>
    <row r="33" spans="1:10" x14ac:dyDescent="0.3">
      <c r="A33" t="s">
        <v>40</v>
      </c>
      <c r="B33" t="s">
        <v>159</v>
      </c>
      <c r="C33" t="s">
        <v>167</v>
      </c>
      <c r="D33" t="s">
        <v>171</v>
      </c>
      <c r="E33">
        <v>92299</v>
      </c>
      <c r="F33" s="23">
        <v>42225</v>
      </c>
      <c r="G33">
        <v>3</v>
      </c>
      <c r="H33" t="s">
        <v>178</v>
      </c>
      <c r="I33" s="28" t="s">
        <v>282</v>
      </c>
      <c r="J33" t="s">
        <v>209</v>
      </c>
    </row>
    <row r="34" spans="1:10" x14ac:dyDescent="0.3">
      <c r="A34" t="s">
        <v>41</v>
      </c>
      <c r="B34" t="s">
        <v>163</v>
      </c>
      <c r="C34" t="s">
        <v>167</v>
      </c>
      <c r="D34" t="s">
        <v>176</v>
      </c>
      <c r="E34">
        <v>95586</v>
      </c>
      <c r="F34" s="23">
        <v>42232</v>
      </c>
      <c r="G34">
        <v>3</v>
      </c>
      <c r="H34" t="s">
        <v>177</v>
      </c>
      <c r="I34" s="28" t="s">
        <v>282</v>
      </c>
      <c r="J34" t="s">
        <v>210</v>
      </c>
    </row>
    <row r="35" spans="1:10" x14ac:dyDescent="0.3">
      <c r="A35" t="s">
        <v>42</v>
      </c>
      <c r="B35" t="s">
        <v>164</v>
      </c>
      <c r="C35" t="s">
        <v>170</v>
      </c>
      <c r="D35" t="s">
        <v>172</v>
      </c>
      <c r="E35">
        <v>95367</v>
      </c>
      <c r="F35" s="23">
        <v>42239</v>
      </c>
      <c r="G35">
        <v>3</v>
      </c>
      <c r="H35" t="s">
        <v>178</v>
      </c>
      <c r="I35" s="28" t="s">
        <v>282</v>
      </c>
      <c r="J35" t="s">
        <v>211</v>
      </c>
    </row>
    <row r="36" spans="1:10" x14ac:dyDescent="0.3">
      <c r="A36" t="s">
        <v>43</v>
      </c>
      <c r="B36" t="s">
        <v>161</v>
      </c>
      <c r="C36" t="s">
        <v>168</v>
      </c>
      <c r="D36" t="s">
        <v>175</v>
      </c>
      <c r="E36">
        <v>79549</v>
      </c>
      <c r="F36" s="23">
        <v>42246</v>
      </c>
      <c r="G36">
        <v>3</v>
      </c>
      <c r="H36" t="s">
        <v>176</v>
      </c>
      <c r="I36" s="28" t="s">
        <v>282</v>
      </c>
      <c r="J36" t="s">
        <v>212</v>
      </c>
    </row>
    <row r="37" spans="1:10" x14ac:dyDescent="0.3">
      <c r="A37" t="s">
        <v>44</v>
      </c>
      <c r="B37" t="s">
        <v>160</v>
      </c>
      <c r="C37" t="s">
        <v>170</v>
      </c>
      <c r="D37" t="s">
        <v>174</v>
      </c>
      <c r="E37">
        <v>54463</v>
      </c>
      <c r="F37" s="23">
        <v>42253</v>
      </c>
      <c r="G37">
        <v>4</v>
      </c>
      <c r="H37" t="s">
        <v>178</v>
      </c>
      <c r="I37" s="28" t="s">
        <v>281</v>
      </c>
      <c r="J37" t="s">
        <v>180</v>
      </c>
    </row>
    <row r="38" spans="1:10" x14ac:dyDescent="0.3">
      <c r="A38" t="s">
        <v>45</v>
      </c>
      <c r="B38" t="s">
        <v>160</v>
      </c>
      <c r="C38" t="s">
        <v>169</v>
      </c>
      <c r="D38" t="s">
        <v>172</v>
      </c>
      <c r="E38">
        <v>89781</v>
      </c>
      <c r="F38" s="23">
        <v>42260</v>
      </c>
      <c r="G38">
        <v>3</v>
      </c>
      <c r="H38" t="s">
        <v>179</v>
      </c>
      <c r="I38" s="28" t="s">
        <v>282</v>
      </c>
      <c r="J38" t="s">
        <v>213</v>
      </c>
    </row>
    <row r="39" spans="1:10" x14ac:dyDescent="0.3">
      <c r="A39" t="s">
        <v>46</v>
      </c>
      <c r="B39" t="s">
        <v>160</v>
      </c>
      <c r="C39" t="s">
        <v>167</v>
      </c>
      <c r="D39" t="s">
        <v>176</v>
      </c>
      <c r="E39">
        <v>64796</v>
      </c>
      <c r="F39" s="23">
        <v>42267</v>
      </c>
      <c r="G39">
        <v>3</v>
      </c>
      <c r="H39" t="s">
        <v>177</v>
      </c>
      <c r="I39" s="28" t="s">
        <v>281</v>
      </c>
      <c r="J39" t="s">
        <v>214</v>
      </c>
    </row>
    <row r="40" spans="1:10" x14ac:dyDescent="0.3">
      <c r="A40" t="s">
        <v>47</v>
      </c>
      <c r="B40" t="s">
        <v>161</v>
      </c>
      <c r="C40" t="s">
        <v>170</v>
      </c>
      <c r="D40" t="s">
        <v>174</v>
      </c>
      <c r="E40">
        <v>52093</v>
      </c>
      <c r="F40" s="23">
        <v>42274</v>
      </c>
      <c r="G40">
        <v>5</v>
      </c>
      <c r="H40" t="s">
        <v>176</v>
      </c>
      <c r="I40" s="28" t="s">
        <v>281</v>
      </c>
      <c r="J40" t="s">
        <v>215</v>
      </c>
    </row>
    <row r="41" spans="1:10" x14ac:dyDescent="0.3">
      <c r="A41" t="s">
        <v>48</v>
      </c>
      <c r="B41" t="s">
        <v>164</v>
      </c>
      <c r="C41" t="s">
        <v>167</v>
      </c>
      <c r="D41" t="s">
        <v>174</v>
      </c>
      <c r="E41">
        <v>48224</v>
      </c>
      <c r="F41" s="23">
        <v>42281</v>
      </c>
      <c r="G41">
        <v>3</v>
      </c>
      <c r="H41" t="s">
        <v>176</v>
      </c>
      <c r="I41" s="28" t="s">
        <v>310</v>
      </c>
      <c r="J41" t="s">
        <v>216</v>
      </c>
    </row>
    <row r="42" spans="1:10" x14ac:dyDescent="0.3">
      <c r="A42" t="s">
        <v>49</v>
      </c>
      <c r="B42" t="s">
        <v>165</v>
      </c>
      <c r="C42" t="s">
        <v>166</v>
      </c>
      <c r="D42" t="s">
        <v>174</v>
      </c>
      <c r="E42">
        <v>66281</v>
      </c>
      <c r="F42" s="23">
        <v>42196</v>
      </c>
      <c r="G42">
        <v>4</v>
      </c>
      <c r="H42" t="s">
        <v>179</v>
      </c>
      <c r="I42" s="28" t="s">
        <v>281</v>
      </c>
      <c r="J42" t="s">
        <v>217</v>
      </c>
    </row>
    <row r="43" spans="1:10" x14ac:dyDescent="0.3">
      <c r="A43" t="s">
        <v>50</v>
      </c>
      <c r="B43" t="s">
        <v>160</v>
      </c>
      <c r="C43" t="s">
        <v>169</v>
      </c>
      <c r="D43" t="s">
        <v>171</v>
      </c>
      <c r="E43">
        <v>33956</v>
      </c>
      <c r="F43" s="23">
        <v>42295</v>
      </c>
      <c r="G43">
        <v>3</v>
      </c>
      <c r="H43" t="s">
        <v>176</v>
      </c>
      <c r="I43" s="28" t="s">
        <v>310</v>
      </c>
      <c r="J43" t="s">
        <v>218</v>
      </c>
    </row>
    <row r="44" spans="1:10" x14ac:dyDescent="0.3">
      <c r="A44" t="s">
        <v>51</v>
      </c>
      <c r="B44" t="s">
        <v>165</v>
      </c>
      <c r="C44" t="s">
        <v>170</v>
      </c>
      <c r="D44" t="s">
        <v>175</v>
      </c>
      <c r="E44">
        <v>64913</v>
      </c>
      <c r="F44" s="23">
        <v>42302</v>
      </c>
      <c r="G44">
        <v>1</v>
      </c>
      <c r="H44" t="s">
        <v>179</v>
      </c>
      <c r="I44" s="28" t="s">
        <v>281</v>
      </c>
      <c r="J44" t="s">
        <v>219</v>
      </c>
    </row>
    <row r="45" spans="1:10" x14ac:dyDescent="0.3">
      <c r="A45" t="s">
        <v>52</v>
      </c>
      <c r="B45" t="s">
        <v>160</v>
      </c>
      <c r="C45" t="s">
        <v>170</v>
      </c>
      <c r="D45" t="s">
        <v>175</v>
      </c>
      <c r="E45">
        <v>35326</v>
      </c>
      <c r="F45" s="23">
        <v>42309</v>
      </c>
      <c r="G45">
        <v>3</v>
      </c>
      <c r="H45" t="s">
        <v>179</v>
      </c>
      <c r="I45" s="28" t="s">
        <v>310</v>
      </c>
      <c r="J45" t="s">
        <v>220</v>
      </c>
    </row>
    <row r="46" spans="1:10" x14ac:dyDescent="0.3">
      <c r="A46" t="s">
        <v>53</v>
      </c>
      <c r="B46" t="s">
        <v>164</v>
      </c>
      <c r="C46" t="s">
        <v>166</v>
      </c>
      <c r="D46" t="s">
        <v>176</v>
      </c>
      <c r="E46">
        <v>81610</v>
      </c>
      <c r="F46" s="23">
        <v>42316</v>
      </c>
      <c r="G46">
        <v>1</v>
      </c>
      <c r="H46" t="s">
        <v>176</v>
      </c>
      <c r="I46" s="28" t="s">
        <v>282</v>
      </c>
      <c r="J46" t="s">
        <v>221</v>
      </c>
    </row>
    <row r="47" spans="1:10" x14ac:dyDescent="0.3">
      <c r="A47" t="s">
        <v>54</v>
      </c>
      <c r="B47" t="s">
        <v>176</v>
      </c>
      <c r="C47" t="s">
        <v>167</v>
      </c>
      <c r="D47" t="s">
        <v>176</v>
      </c>
      <c r="E47">
        <v>58962</v>
      </c>
      <c r="F47" s="23">
        <v>42323</v>
      </c>
      <c r="G47">
        <v>3</v>
      </c>
      <c r="H47" t="s">
        <v>177</v>
      </c>
      <c r="I47" s="28" t="s">
        <v>281</v>
      </c>
      <c r="J47" t="s">
        <v>181</v>
      </c>
    </row>
    <row r="48" spans="1:10" x14ac:dyDescent="0.3">
      <c r="A48" t="s">
        <v>55</v>
      </c>
      <c r="B48" t="s">
        <v>164</v>
      </c>
      <c r="C48" t="s">
        <v>169</v>
      </c>
      <c r="D48" t="s">
        <v>171</v>
      </c>
      <c r="E48">
        <v>92701</v>
      </c>
      <c r="F48" s="23">
        <v>42330</v>
      </c>
      <c r="G48">
        <v>3</v>
      </c>
      <c r="H48" t="s">
        <v>177</v>
      </c>
      <c r="I48" s="28" t="s">
        <v>282</v>
      </c>
      <c r="J48" t="s">
        <v>222</v>
      </c>
    </row>
    <row r="49" spans="1:10" x14ac:dyDescent="0.3">
      <c r="A49" t="s">
        <v>56</v>
      </c>
      <c r="B49" t="s">
        <v>164</v>
      </c>
      <c r="C49" t="s">
        <v>167</v>
      </c>
      <c r="D49" t="s">
        <v>173</v>
      </c>
      <c r="E49">
        <v>58245</v>
      </c>
      <c r="F49" s="23">
        <v>42337</v>
      </c>
      <c r="G49">
        <v>4</v>
      </c>
      <c r="H49" t="s">
        <v>176</v>
      </c>
      <c r="I49" s="28" t="s">
        <v>281</v>
      </c>
      <c r="J49" t="s">
        <v>223</v>
      </c>
    </row>
    <row r="50" spans="1:10" x14ac:dyDescent="0.3">
      <c r="A50" t="s">
        <v>57</v>
      </c>
      <c r="B50" t="s">
        <v>161</v>
      </c>
      <c r="C50" t="s">
        <v>166</v>
      </c>
      <c r="D50" t="s">
        <v>176</v>
      </c>
      <c r="E50">
        <v>66513</v>
      </c>
      <c r="F50" s="23">
        <v>42344</v>
      </c>
      <c r="G50">
        <v>2</v>
      </c>
      <c r="H50" t="s">
        <v>177</v>
      </c>
      <c r="I50" s="28" t="s">
        <v>281</v>
      </c>
      <c r="J50" t="s">
        <v>185</v>
      </c>
    </row>
    <row r="51" spans="1:10" x14ac:dyDescent="0.3">
      <c r="A51" t="s">
        <v>58</v>
      </c>
      <c r="B51" t="s">
        <v>159</v>
      </c>
      <c r="C51" t="s">
        <v>167</v>
      </c>
      <c r="D51" t="s">
        <v>171</v>
      </c>
      <c r="E51">
        <v>78720</v>
      </c>
      <c r="F51" s="23">
        <v>42351</v>
      </c>
      <c r="G51">
        <v>5</v>
      </c>
      <c r="H51" t="s">
        <v>179</v>
      </c>
      <c r="I51" s="28" t="s">
        <v>282</v>
      </c>
      <c r="J51" t="s">
        <v>217</v>
      </c>
    </row>
    <row r="52" spans="1:10" x14ac:dyDescent="0.3">
      <c r="A52" t="s">
        <v>59</v>
      </c>
      <c r="B52" t="s">
        <v>164</v>
      </c>
      <c r="C52" t="s">
        <v>170</v>
      </c>
      <c r="D52" t="s">
        <v>176</v>
      </c>
      <c r="E52">
        <v>30686</v>
      </c>
      <c r="F52" s="23">
        <v>42196</v>
      </c>
      <c r="G52">
        <v>2</v>
      </c>
      <c r="H52" t="s">
        <v>179</v>
      </c>
      <c r="I52" s="28" t="s">
        <v>310</v>
      </c>
      <c r="J52" t="s">
        <v>224</v>
      </c>
    </row>
    <row r="53" spans="1:10" x14ac:dyDescent="0.3">
      <c r="A53" t="s">
        <v>60</v>
      </c>
      <c r="B53" t="s">
        <v>163</v>
      </c>
      <c r="C53" t="s">
        <v>168</v>
      </c>
      <c r="D53" t="s">
        <v>173</v>
      </c>
      <c r="E53">
        <v>39423</v>
      </c>
      <c r="F53" s="23">
        <v>42365</v>
      </c>
      <c r="G53">
        <v>5</v>
      </c>
      <c r="H53" t="s">
        <v>176</v>
      </c>
      <c r="I53" s="28" t="s">
        <v>310</v>
      </c>
      <c r="J53" t="s">
        <v>225</v>
      </c>
    </row>
    <row r="54" spans="1:10" x14ac:dyDescent="0.3">
      <c r="A54" t="s">
        <v>61</v>
      </c>
      <c r="B54" t="s">
        <v>159</v>
      </c>
      <c r="C54" t="s">
        <v>170</v>
      </c>
      <c r="D54" t="s">
        <v>176</v>
      </c>
      <c r="E54">
        <v>30280</v>
      </c>
      <c r="F54" s="23">
        <v>42372</v>
      </c>
      <c r="G54">
        <v>1</v>
      </c>
      <c r="H54" t="s">
        <v>176</v>
      </c>
      <c r="I54" s="28" t="s">
        <v>310</v>
      </c>
      <c r="J54" t="s">
        <v>226</v>
      </c>
    </row>
    <row r="55" spans="1:10" x14ac:dyDescent="0.3">
      <c r="A55" t="s">
        <v>62</v>
      </c>
      <c r="B55" t="s">
        <v>159</v>
      </c>
      <c r="C55" t="s">
        <v>166</v>
      </c>
      <c r="D55" t="s">
        <v>174</v>
      </c>
      <c r="E55">
        <v>33352</v>
      </c>
      <c r="F55" s="23">
        <v>42379</v>
      </c>
      <c r="G55">
        <v>3</v>
      </c>
      <c r="H55" t="s">
        <v>179</v>
      </c>
      <c r="I55" s="28" t="s">
        <v>310</v>
      </c>
      <c r="J55" t="s">
        <v>198</v>
      </c>
    </row>
    <row r="56" spans="1:10" x14ac:dyDescent="0.3">
      <c r="A56" t="s">
        <v>63</v>
      </c>
      <c r="B56" t="s">
        <v>165</v>
      </c>
      <c r="C56" t="s">
        <v>170</v>
      </c>
      <c r="D56" t="s">
        <v>174</v>
      </c>
      <c r="E56">
        <v>75633</v>
      </c>
      <c r="F56" s="23">
        <v>42386</v>
      </c>
      <c r="G56">
        <v>5</v>
      </c>
      <c r="H56" t="s">
        <v>177</v>
      </c>
      <c r="I56" s="28" t="s">
        <v>282</v>
      </c>
      <c r="J56" t="s">
        <v>227</v>
      </c>
    </row>
    <row r="57" spans="1:10" x14ac:dyDescent="0.3">
      <c r="A57" t="s">
        <v>64</v>
      </c>
      <c r="B57" t="s">
        <v>164</v>
      </c>
      <c r="C57" t="s">
        <v>170</v>
      </c>
      <c r="D57" t="s">
        <v>172</v>
      </c>
      <c r="E57">
        <v>74815</v>
      </c>
      <c r="F57" s="23">
        <v>42393</v>
      </c>
      <c r="G57">
        <v>5</v>
      </c>
      <c r="H57" t="s">
        <v>179</v>
      </c>
      <c r="I57" s="28" t="s">
        <v>281</v>
      </c>
      <c r="J57" t="s">
        <v>228</v>
      </c>
    </row>
    <row r="58" spans="1:10" x14ac:dyDescent="0.3">
      <c r="A58" t="s">
        <v>65</v>
      </c>
      <c r="B58" t="s">
        <v>161</v>
      </c>
      <c r="C58" t="s">
        <v>168</v>
      </c>
      <c r="D58" t="s">
        <v>175</v>
      </c>
      <c r="E58">
        <v>60011</v>
      </c>
      <c r="F58" s="23">
        <v>42400</v>
      </c>
      <c r="G58">
        <v>1</v>
      </c>
      <c r="H58" t="s">
        <v>178</v>
      </c>
      <c r="I58" s="28" t="s">
        <v>281</v>
      </c>
      <c r="J58" t="s">
        <v>229</v>
      </c>
    </row>
    <row r="59" spans="1:10" x14ac:dyDescent="0.3">
      <c r="A59" t="s">
        <v>66</v>
      </c>
      <c r="B59" t="s">
        <v>159</v>
      </c>
      <c r="C59" t="s">
        <v>170</v>
      </c>
      <c r="D59" t="s">
        <v>173</v>
      </c>
      <c r="E59">
        <v>96949</v>
      </c>
      <c r="F59" s="23">
        <v>42407</v>
      </c>
      <c r="G59">
        <v>3</v>
      </c>
      <c r="H59" t="s">
        <v>176</v>
      </c>
      <c r="I59" s="28" t="s">
        <v>282</v>
      </c>
      <c r="J59" t="s">
        <v>205</v>
      </c>
    </row>
    <row r="60" spans="1:10" x14ac:dyDescent="0.3">
      <c r="A60" t="s">
        <v>67</v>
      </c>
      <c r="B60" t="s">
        <v>163</v>
      </c>
      <c r="C60" t="s">
        <v>170</v>
      </c>
      <c r="D60" t="s">
        <v>176</v>
      </c>
      <c r="E60">
        <v>84924</v>
      </c>
      <c r="F60" s="23">
        <v>42414</v>
      </c>
      <c r="G60">
        <v>5</v>
      </c>
      <c r="H60" t="s">
        <v>178</v>
      </c>
      <c r="I60" s="28" t="s">
        <v>282</v>
      </c>
      <c r="J60" t="s">
        <v>230</v>
      </c>
    </row>
    <row r="61" spans="1:10" x14ac:dyDescent="0.3">
      <c r="A61" t="s">
        <v>68</v>
      </c>
      <c r="B61" t="s">
        <v>163</v>
      </c>
      <c r="C61" t="s">
        <v>166</v>
      </c>
      <c r="D61" t="s">
        <v>172</v>
      </c>
      <c r="E61">
        <v>82033</v>
      </c>
      <c r="F61" s="23">
        <v>42421</v>
      </c>
      <c r="G61">
        <v>1</v>
      </c>
      <c r="H61" t="s">
        <v>176</v>
      </c>
      <c r="I61" s="28" t="s">
        <v>282</v>
      </c>
      <c r="J61" t="s">
        <v>221</v>
      </c>
    </row>
    <row r="62" spans="1:10" x14ac:dyDescent="0.3">
      <c r="A62" t="s">
        <v>69</v>
      </c>
      <c r="B62" t="s">
        <v>176</v>
      </c>
      <c r="C62" t="s">
        <v>170</v>
      </c>
      <c r="D62" t="s">
        <v>171</v>
      </c>
      <c r="E62">
        <v>66281</v>
      </c>
      <c r="F62" s="23">
        <v>42196</v>
      </c>
      <c r="G62">
        <v>5</v>
      </c>
      <c r="H62" t="s">
        <v>176</v>
      </c>
      <c r="I62" s="28" t="s">
        <v>281</v>
      </c>
      <c r="J62" t="s">
        <v>231</v>
      </c>
    </row>
    <row r="63" spans="1:10" x14ac:dyDescent="0.3">
      <c r="A63" t="s">
        <v>70</v>
      </c>
      <c r="B63" t="s">
        <v>159</v>
      </c>
      <c r="C63" t="s">
        <v>170</v>
      </c>
      <c r="D63" t="s">
        <v>175</v>
      </c>
      <c r="E63">
        <v>31499</v>
      </c>
      <c r="F63" s="23">
        <v>42435</v>
      </c>
      <c r="G63">
        <v>2</v>
      </c>
      <c r="H63" t="s">
        <v>176</v>
      </c>
      <c r="I63" s="28" t="s">
        <v>310</v>
      </c>
      <c r="J63" t="s">
        <v>213</v>
      </c>
    </row>
    <row r="64" spans="1:10" x14ac:dyDescent="0.3">
      <c r="A64" t="s">
        <v>71</v>
      </c>
      <c r="B64" t="s">
        <v>164</v>
      </c>
      <c r="C64" t="s">
        <v>169</v>
      </c>
      <c r="D64" t="s">
        <v>174</v>
      </c>
      <c r="E64">
        <v>97981</v>
      </c>
      <c r="F64" s="23">
        <v>42442</v>
      </c>
      <c r="G64">
        <v>5</v>
      </c>
      <c r="H64" t="s">
        <v>179</v>
      </c>
      <c r="I64" s="28" t="s">
        <v>282</v>
      </c>
      <c r="J64" t="s">
        <v>232</v>
      </c>
    </row>
    <row r="65" spans="1:10" x14ac:dyDescent="0.3">
      <c r="A65" t="s">
        <v>72</v>
      </c>
      <c r="B65" t="s">
        <v>159</v>
      </c>
      <c r="C65" t="s">
        <v>167</v>
      </c>
      <c r="D65" t="s">
        <v>172</v>
      </c>
      <c r="E65">
        <v>36541</v>
      </c>
      <c r="F65" s="23">
        <v>42449</v>
      </c>
      <c r="G65">
        <v>2</v>
      </c>
      <c r="H65" t="s">
        <v>177</v>
      </c>
      <c r="I65" s="28" t="s">
        <v>310</v>
      </c>
      <c r="J65" t="s">
        <v>233</v>
      </c>
    </row>
    <row r="66" spans="1:10" x14ac:dyDescent="0.3">
      <c r="A66" t="s">
        <v>73</v>
      </c>
      <c r="B66" t="s">
        <v>161</v>
      </c>
      <c r="C66" t="s">
        <v>169</v>
      </c>
      <c r="D66" t="s">
        <v>173</v>
      </c>
      <c r="E66">
        <v>84737</v>
      </c>
      <c r="F66" s="23">
        <v>42456</v>
      </c>
      <c r="G66">
        <v>1</v>
      </c>
      <c r="H66" t="s">
        <v>178</v>
      </c>
      <c r="I66" s="28" t="s">
        <v>282</v>
      </c>
      <c r="J66" t="s">
        <v>234</v>
      </c>
    </row>
    <row r="67" spans="1:10" x14ac:dyDescent="0.3">
      <c r="A67" t="s">
        <v>74</v>
      </c>
      <c r="B67" t="s">
        <v>163</v>
      </c>
      <c r="C67" t="s">
        <v>166</v>
      </c>
      <c r="D67" t="s">
        <v>173</v>
      </c>
      <c r="E67">
        <v>33468</v>
      </c>
      <c r="F67" s="23">
        <v>42463</v>
      </c>
      <c r="G67">
        <v>4</v>
      </c>
      <c r="H67" t="s">
        <v>178</v>
      </c>
      <c r="I67" s="28" t="s">
        <v>310</v>
      </c>
      <c r="J67" t="s">
        <v>235</v>
      </c>
    </row>
    <row r="68" spans="1:10" x14ac:dyDescent="0.3">
      <c r="A68" t="s">
        <v>75</v>
      </c>
      <c r="B68" t="s">
        <v>163</v>
      </c>
      <c r="C68" t="s">
        <v>170</v>
      </c>
      <c r="D68" t="s">
        <v>175</v>
      </c>
      <c r="E68">
        <v>96365</v>
      </c>
      <c r="F68" s="23">
        <v>42470</v>
      </c>
      <c r="G68">
        <v>3</v>
      </c>
      <c r="H68" t="s">
        <v>177</v>
      </c>
      <c r="I68" s="28" t="s">
        <v>282</v>
      </c>
      <c r="J68" t="s">
        <v>236</v>
      </c>
    </row>
    <row r="69" spans="1:10" x14ac:dyDescent="0.3">
      <c r="A69" t="s">
        <v>76</v>
      </c>
      <c r="B69" t="s">
        <v>160</v>
      </c>
      <c r="C69" t="s">
        <v>168</v>
      </c>
      <c r="D69" t="s">
        <v>173</v>
      </c>
      <c r="E69">
        <v>61942</v>
      </c>
      <c r="F69" s="23">
        <v>42477</v>
      </c>
      <c r="G69">
        <v>3</v>
      </c>
      <c r="H69" t="s">
        <v>179</v>
      </c>
      <c r="I69" s="28" t="s">
        <v>281</v>
      </c>
      <c r="J69" t="s">
        <v>237</v>
      </c>
    </row>
    <row r="70" spans="1:10" x14ac:dyDescent="0.3">
      <c r="A70" t="s">
        <v>77</v>
      </c>
      <c r="B70" t="s">
        <v>163</v>
      </c>
      <c r="C70" t="s">
        <v>166</v>
      </c>
      <c r="D70" t="s">
        <v>174</v>
      </c>
      <c r="E70">
        <v>41467</v>
      </c>
      <c r="F70" s="23">
        <v>42484</v>
      </c>
      <c r="G70">
        <v>2</v>
      </c>
      <c r="H70" t="s">
        <v>176</v>
      </c>
      <c r="I70" s="28" t="s">
        <v>310</v>
      </c>
      <c r="J70" t="s">
        <v>199</v>
      </c>
    </row>
    <row r="71" spans="1:10" x14ac:dyDescent="0.3">
      <c r="A71" t="s">
        <v>78</v>
      </c>
      <c r="B71" t="s">
        <v>165</v>
      </c>
      <c r="C71" t="s">
        <v>166</v>
      </c>
      <c r="D71" t="s">
        <v>173</v>
      </c>
      <c r="E71">
        <v>77096</v>
      </c>
      <c r="F71" s="23">
        <v>42491</v>
      </c>
      <c r="G71">
        <v>1</v>
      </c>
      <c r="H71" t="s">
        <v>176</v>
      </c>
      <c r="I71" s="28" t="s">
        <v>282</v>
      </c>
      <c r="J71" t="s">
        <v>238</v>
      </c>
    </row>
    <row r="72" spans="1:10" x14ac:dyDescent="0.3">
      <c r="A72" t="s">
        <v>79</v>
      </c>
      <c r="B72" t="s">
        <v>159</v>
      </c>
      <c r="C72" t="s">
        <v>168</v>
      </c>
      <c r="D72" t="s">
        <v>175</v>
      </c>
      <c r="E72">
        <v>69952</v>
      </c>
      <c r="F72" s="23">
        <v>42498</v>
      </c>
      <c r="G72">
        <v>5</v>
      </c>
      <c r="H72" t="s">
        <v>179</v>
      </c>
      <c r="I72" s="28" t="s">
        <v>281</v>
      </c>
      <c r="J72" t="s">
        <v>180</v>
      </c>
    </row>
    <row r="73" spans="1:10" x14ac:dyDescent="0.3">
      <c r="A73" t="s">
        <v>80</v>
      </c>
      <c r="B73" t="s">
        <v>159</v>
      </c>
      <c r="C73" t="s">
        <v>170</v>
      </c>
      <c r="D73" t="s">
        <v>172</v>
      </c>
      <c r="E73">
        <v>85065</v>
      </c>
      <c r="F73" s="23">
        <v>42505</v>
      </c>
      <c r="G73">
        <v>3</v>
      </c>
      <c r="H73" t="s">
        <v>176</v>
      </c>
      <c r="I73" s="28" t="s">
        <v>282</v>
      </c>
      <c r="J73" t="s">
        <v>239</v>
      </c>
    </row>
    <row r="74" spans="1:10" x14ac:dyDescent="0.3">
      <c r="A74" t="s">
        <v>81</v>
      </c>
      <c r="B74" t="s">
        <v>165</v>
      </c>
      <c r="C74" t="s">
        <v>170</v>
      </c>
      <c r="D74" t="s">
        <v>173</v>
      </c>
      <c r="E74">
        <v>56512</v>
      </c>
      <c r="F74" s="23">
        <v>42512</v>
      </c>
      <c r="G74">
        <v>3</v>
      </c>
      <c r="H74" t="s">
        <v>177</v>
      </c>
      <c r="I74" s="28" t="s">
        <v>281</v>
      </c>
      <c r="J74" t="s">
        <v>188</v>
      </c>
    </row>
    <row r="75" spans="1:10" x14ac:dyDescent="0.3">
      <c r="A75" t="s">
        <v>82</v>
      </c>
      <c r="B75" t="s">
        <v>161</v>
      </c>
      <c r="C75" t="s">
        <v>168</v>
      </c>
      <c r="D75" t="s">
        <v>173</v>
      </c>
      <c r="E75">
        <v>91101</v>
      </c>
      <c r="F75" s="23">
        <v>42519</v>
      </c>
      <c r="G75">
        <v>4</v>
      </c>
      <c r="H75" t="s">
        <v>179</v>
      </c>
      <c r="I75" s="28" t="s">
        <v>282</v>
      </c>
      <c r="J75" t="s">
        <v>232</v>
      </c>
    </row>
    <row r="76" spans="1:10" x14ac:dyDescent="0.3">
      <c r="A76" t="s">
        <v>83</v>
      </c>
      <c r="B76" t="s">
        <v>163</v>
      </c>
      <c r="C76" t="s">
        <v>170</v>
      </c>
      <c r="D76" t="s">
        <v>171</v>
      </c>
      <c r="E76">
        <v>41243</v>
      </c>
      <c r="F76" s="23">
        <v>42526</v>
      </c>
      <c r="G76">
        <v>3</v>
      </c>
      <c r="H76" t="s">
        <v>176</v>
      </c>
      <c r="I76" s="28" t="s">
        <v>310</v>
      </c>
      <c r="J76" t="s">
        <v>209</v>
      </c>
    </row>
    <row r="77" spans="1:10" x14ac:dyDescent="0.3">
      <c r="A77" t="s">
        <v>84</v>
      </c>
      <c r="B77" t="s">
        <v>176</v>
      </c>
      <c r="C77" t="s">
        <v>168</v>
      </c>
      <c r="D77" t="s">
        <v>176</v>
      </c>
      <c r="E77">
        <v>96142</v>
      </c>
      <c r="F77" s="23">
        <v>42533</v>
      </c>
      <c r="G77">
        <v>1</v>
      </c>
      <c r="H77" t="s">
        <v>177</v>
      </c>
      <c r="I77" s="28" t="s">
        <v>282</v>
      </c>
      <c r="J77" t="s">
        <v>240</v>
      </c>
    </row>
    <row r="78" spans="1:10" x14ac:dyDescent="0.3">
      <c r="A78" t="s">
        <v>85</v>
      </c>
      <c r="B78" t="s">
        <v>159</v>
      </c>
      <c r="C78" t="s">
        <v>169</v>
      </c>
      <c r="D78" t="s">
        <v>173</v>
      </c>
      <c r="E78">
        <v>94301</v>
      </c>
      <c r="F78" s="23">
        <v>42540</v>
      </c>
      <c r="G78">
        <v>1</v>
      </c>
      <c r="H78" t="s">
        <v>178</v>
      </c>
      <c r="I78" s="28" t="s">
        <v>282</v>
      </c>
      <c r="J78" t="s">
        <v>221</v>
      </c>
    </row>
    <row r="79" spans="1:10" x14ac:dyDescent="0.3">
      <c r="A79" t="s">
        <v>86</v>
      </c>
      <c r="B79" t="s">
        <v>162</v>
      </c>
      <c r="C79" t="s">
        <v>170</v>
      </c>
      <c r="D79" t="s">
        <v>174</v>
      </c>
      <c r="E79">
        <v>69166</v>
      </c>
      <c r="F79" s="23">
        <v>42547</v>
      </c>
      <c r="G79">
        <v>1</v>
      </c>
      <c r="H79" t="s">
        <v>179</v>
      </c>
      <c r="I79" s="28" t="s">
        <v>281</v>
      </c>
      <c r="J79" t="s">
        <v>241</v>
      </c>
    </row>
    <row r="80" spans="1:10" x14ac:dyDescent="0.3">
      <c r="A80" t="s">
        <v>87</v>
      </c>
      <c r="B80" t="s">
        <v>163</v>
      </c>
      <c r="C80" t="s">
        <v>170</v>
      </c>
      <c r="D80" t="s">
        <v>174</v>
      </c>
      <c r="E80">
        <v>78245</v>
      </c>
      <c r="F80" s="23">
        <v>42554</v>
      </c>
      <c r="G80">
        <v>2</v>
      </c>
      <c r="H80" t="s">
        <v>176</v>
      </c>
      <c r="I80" s="28" t="s">
        <v>282</v>
      </c>
      <c r="J80" t="s">
        <v>242</v>
      </c>
    </row>
    <row r="81" spans="1:10" x14ac:dyDescent="0.3">
      <c r="A81" t="s">
        <v>88</v>
      </c>
      <c r="B81" t="s">
        <v>164</v>
      </c>
      <c r="C81" t="s">
        <v>168</v>
      </c>
      <c r="D81" t="s">
        <v>172</v>
      </c>
      <c r="E81">
        <v>66079</v>
      </c>
      <c r="F81" s="23">
        <v>42561</v>
      </c>
      <c r="G81">
        <v>2</v>
      </c>
      <c r="H81" t="s">
        <v>177</v>
      </c>
      <c r="I81" s="28" t="s">
        <v>281</v>
      </c>
      <c r="J81" t="s">
        <v>243</v>
      </c>
    </row>
    <row r="82" spans="1:10" x14ac:dyDescent="0.3">
      <c r="A82" t="s">
        <v>89</v>
      </c>
      <c r="B82" t="s">
        <v>159</v>
      </c>
      <c r="C82" t="s">
        <v>170</v>
      </c>
      <c r="D82" t="s">
        <v>173</v>
      </c>
      <c r="E82">
        <v>66281</v>
      </c>
      <c r="F82" s="23">
        <v>42196</v>
      </c>
      <c r="G82">
        <v>3</v>
      </c>
      <c r="H82" t="s">
        <v>176</v>
      </c>
      <c r="I82" s="28" t="s">
        <v>281</v>
      </c>
      <c r="J82" t="s">
        <v>206</v>
      </c>
    </row>
    <row r="83" spans="1:10" x14ac:dyDescent="0.3">
      <c r="A83" t="s">
        <v>90</v>
      </c>
      <c r="B83" t="s">
        <v>162</v>
      </c>
      <c r="C83" t="s">
        <v>168</v>
      </c>
      <c r="D83" t="s">
        <v>172</v>
      </c>
      <c r="E83">
        <v>95621</v>
      </c>
      <c r="F83" s="23">
        <v>42575</v>
      </c>
      <c r="G83">
        <v>3</v>
      </c>
      <c r="H83" t="s">
        <v>179</v>
      </c>
      <c r="I83" s="28" t="s">
        <v>282</v>
      </c>
      <c r="J83" t="s">
        <v>244</v>
      </c>
    </row>
    <row r="84" spans="1:10" x14ac:dyDescent="0.3">
      <c r="A84" t="s">
        <v>91</v>
      </c>
      <c r="B84" t="s">
        <v>159</v>
      </c>
      <c r="C84" t="s">
        <v>169</v>
      </c>
      <c r="D84" t="s">
        <v>174</v>
      </c>
      <c r="E84">
        <v>42262</v>
      </c>
      <c r="F84" s="23">
        <v>42582</v>
      </c>
      <c r="G84">
        <v>1</v>
      </c>
      <c r="H84" t="s">
        <v>176</v>
      </c>
      <c r="I84" s="28" t="s">
        <v>310</v>
      </c>
      <c r="J84" t="s">
        <v>245</v>
      </c>
    </row>
    <row r="85" spans="1:10" x14ac:dyDescent="0.3">
      <c r="A85" t="s">
        <v>92</v>
      </c>
      <c r="B85" t="s">
        <v>163</v>
      </c>
      <c r="C85" t="s">
        <v>168</v>
      </c>
      <c r="D85" t="s">
        <v>173</v>
      </c>
      <c r="E85">
        <v>99621</v>
      </c>
      <c r="F85" s="23">
        <v>42589</v>
      </c>
      <c r="G85">
        <v>3</v>
      </c>
      <c r="H85" t="s">
        <v>177</v>
      </c>
      <c r="I85" s="28" t="s">
        <v>282</v>
      </c>
      <c r="J85" t="s">
        <v>246</v>
      </c>
    </row>
    <row r="86" spans="1:10" x14ac:dyDescent="0.3">
      <c r="A86" t="s">
        <v>93</v>
      </c>
      <c r="B86" t="s">
        <v>161</v>
      </c>
      <c r="C86" t="s">
        <v>170</v>
      </c>
      <c r="D86" t="s">
        <v>173</v>
      </c>
      <c r="E86">
        <v>44682</v>
      </c>
      <c r="F86" s="23">
        <v>42596</v>
      </c>
      <c r="G86">
        <v>4</v>
      </c>
      <c r="H86" t="s">
        <v>179</v>
      </c>
      <c r="I86" s="28" t="s">
        <v>310</v>
      </c>
      <c r="J86" t="s">
        <v>218</v>
      </c>
    </row>
    <row r="87" spans="1:10" x14ac:dyDescent="0.3">
      <c r="A87" t="s">
        <v>94</v>
      </c>
      <c r="B87" t="s">
        <v>164</v>
      </c>
      <c r="C87" t="s">
        <v>166</v>
      </c>
      <c r="D87" t="s">
        <v>176</v>
      </c>
      <c r="E87">
        <v>35163</v>
      </c>
      <c r="F87" s="23">
        <v>42603</v>
      </c>
      <c r="G87">
        <v>5</v>
      </c>
      <c r="H87" t="s">
        <v>177</v>
      </c>
      <c r="I87" s="28" t="s">
        <v>310</v>
      </c>
      <c r="J87" t="s">
        <v>247</v>
      </c>
    </row>
    <row r="88" spans="1:10" x14ac:dyDescent="0.3">
      <c r="A88" t="s">
        <v>95</v>
      </c>
      <c r="B88" t="s">
        <v>164</v>
      </c>
      <c r="C88" t="s">
        <v>169</v>
      </c>
      <c r="D88" t="s">
        <v>173</v>
      </c>
      <c r="E88">
        <v>33483</v>
      </c>
      <c r="F88" s="23">
        <v>42610</v>
      </c>
      <c r="G88">
        <v>4</v>
      </c>
      <c r="H88" t="s">
        <v>178</v>
      </c>
      <c r="I88" s="28" t="s">
        <v>310</v>
      </c>
      <c r="J88" t="s">
        <v>248</v>
      </c>
    </row>
    <row r="89" spans="1:10" x14ac:dyDescent="0.3">
      <c r="A89" t="s">
        <v>96</v>
      </c>
      <c r="B89" t="s">
        <v>163</v>
      </c>
      <c r="C89" t="s">
        <v>167</v>
      </c>
      <c r="D89" t="s">
        <v>171</v>
      </c>
      <c r="E89">
        <v>55303</v>
      </c>
      <c r="F89" s="23">
        <v>42617</v>
      </c>
      <c r="G89">
        <v>4</v>
      </c>
      <c r="H89" t="s">
        <v>178</v>
      </c>
      <c r="I89" s="28" t="s">
        <v>281</v>
      </c>
      <c r="J89" t="s">
        <v>201</v>
      </c>
    </row>
    <row r="90" spans="1:10" x14ac:dyDescent="0.3">
      <c r="A90" t="s">
        <v>97</v>
      </c>
      <c r="B90" t="s">
        <v>164</v>
      </c>
      <c r="C90" t="s">
        <v>169</v>
      </c>
      <c r="D90" t="s">
        <v>176</v>
      </c>
      <c r="E90">
        <v>63434</v>
      </c>
      <c r="F90" s="23">
        <v>42624</v>
      </c>
      <c r="G90">
        <v>3</v>
      </c>
      <c r="H90" t="s">
        <v>176</v>
      </c>
      <c r="I90" s="28" t="s">
        <v>281</v>
      </c>
      <c r="J90" t="s">
        <v>249</v>
      </c>
    </row>
    <row r="91" spans="1:10" x14ac:dyDescent="0.3">
      <c r="A91" t="s">
        <v>98</v>
      </c>
      <c r="B91" t="s">
        <v>162</v>
      </c>
      <c r="C91" t="s">
        <v>170</v>
      </c>
      <c r="D91" t="s">
        <v>175</v>
      </c>
      <c r="E91">
        <v>38830</v>
      </c>
      <c r="F91" s="23">
        <v>42631</v>
      </c>
      <c r="G91">
        <v>3</v>
      </c>
      <c r="H91" t="s">
        <v>177</v>
      </c>
      <c r="I91" s="28" t="s">
        <v>310</v>
      </c>
      <c r="J91" t="s">
        <v>201</v>
      </c>
    </row>
    <row r="92" spans="1:10" x14ac:dyDescent="0.3">
      <c r="A92" t="s">
        <v>99</v>
      </c>
      <c r="B92" t="s">
        <v>176</v>
      </c>
      <c r="C92" t="s">
        <v>170</v>
      </c>
      <c r="D92" t="s">
        <v>174</v>
      </c>
      <c r="E92">
        <v>50741</v>
      </c>
      <c r="F92" s="23">
        <v>42638</v>
      </c>
      <c r="G92">
        <v>3</v>
      </c>
      <c r="H92" t="s">
        <v>176</v>
      </c>
      <c r="I92" s="28" t="s">
        <v>281</v>
      </c>
      <c r="J92" t="s">
        <v>238</v>
      </c>
    </row>
    <row r="93" spans="1:10" x14ac:dyDescent="0.3">
      <c r="A93" t="s">
        <v>100</v>
      </c>
      <c r="B93" t="s">
        <v>160</v>
      </c>
      <c r="C93" t="s">
        <v>167</v>
      </c>
      <c r="D93" t="s">
        <v>175</v>
      </c>
      <c r="E93">
        <v>69420</v>
      </c>
      <c r="F93" s="23">
        <v>42645</v>
      </c>
      <c r="G93">
        <v>1</v>
      </c>
      <c r="H93" t="s">
        <v>178</v>
      </c>
      <c r="I93" s="28" t="s">
        <v>281</v>
      </c>
      <c r="J93" t="s">
        <v>223</v>
      </c>
    </row>
    <row r="94" spans="1:10" x14ac:dyDescent="0.3">
      <c r="A94" t="s">
        <v>101</v>
      </c>
      <c r="B94" t="s">
        <v>162</v>
      </c>
      <c r="C94" t="s">
        <v>169</v>
      </c>
      <c r="D94" t="s">
        <v>176</v>
      </c>
      <c r="E94">
        <v>80588</v>
      </c>
      <c r="F94" s="23">
        <v>42652</v>
      </c>
      <c r="G94">
        <v>5</v>
      </c>
      <c r="H94" t="s">
        <v>178</v>
      </c>
      <c r="I94" s="28" t="s">
        <v>282</v>
      </c>
      <c r="J94" t="s">
        <v>214</v>
      </c>
    </row>
    <row r="95" spans="1:10" x14ac:dyDescent="0.3">
      <c r="A95" t="s">
        <v>102</v>
      </c>
      <c r="B95" t="s">
        <v>160</v>
      </c>
      <c r="C95" t="s">
        <v>170</v>
      </c>
      <c r="D95" t="s">
        <v>172</v>
      </c>
      <c r="E95">
        <v>76238</v>
      </c>
      <c r="F95" s="23">
        <v>42659</v>
      </c>
      <c r="G95">
        <v>4</v>
      </c>
      <c r="H95" t="s">
        <v>178</v>
      </c>
      <c r="I95" s="28" t="s">
        <v>282</v>
      </c>
      <c r="J95" t="s">
        <v>250</v>
      </c>
    </row>
    <row r="96" spans="1:10" x14ac:dyDescent="0.3">
      <c r="A96" t="s">
        <v>103</v>
      </c>
      <c r="B96" t="s">
        <v>165</v>
      </c>
      <c r="C96" t="s">
        <v>169</v>
      </c>
      <c r="D96" t="s">
        <v>173</v>
      </c>
      <c r="E96">
        <v>33264</v>
      </c>
      <c r="F96" s="23">
        <v>42666</v>
      </c>
      <c r="G96">
        <v>3</v>
      </c>
      <c r="H96" t="s">
        <v>179</v>
      </c>
      <c r="I96" s="28" t="s">
        <v>310</v>
      </c>
      <c r="J96" t="s">
        <v>251</v>
      </c>
    </row>
    <row r="97" spans="1:10" x14ac:dyDescent="0.3">
      <c r="A97" t="s">
        <v>104</v>
      </c>
      <c r="B97" t="s">
        <v>160</v>
      </c>
      <c r="C97" t="s">
        <v>166</v>
      </c>
      <c r="D97" t="s">
        <v>175</v>
      </c>
      <c r="E97">
        <v>96101</v>
      </c>
      <c r="F97" s="23">
        <v>42673</v>
      </c>
      <c r="G97">
        <v>3</v>
      </c>
      <c r="H97" t="s">
        <v>177</v>
      </c>
      <c r="I97" s="28" t="s">
        <v>282</v>
      </c>
      <c r="J97" t="s">
        <v>252</v>
      </c>
    </row>
    <row r="98" spans="1:10" x14ac:dyDescent="0.3">
      <c r="A98" t="s">
        <v>105</v>
      </c>
      <c r="B98" t="s">
        <v>162</v>
      </c>
      <c r="C98" t="s">
        <v>166</v>
      </c>
      <c r="D98" t="s">
        <v>172</v>
      </c>
      <c r="E98">
        <v>72939</v>
      </c>
      <c r="F98" s="23">
        <v>42680</v>
      </c>
      <c r="G98">
        <v>3</v>
      </c>
      <c r="H98" t="s">
        <v>176</v>
      </c>
      <c r="I98" s="28" t="s">
        <v>281</v>
      </c>
      <c r="J98" t="s">
        <v>253</v>
      </c>
    </row>
    <row r="99" spans="1:10" x14ac:dyDescent="0.3">
      <c r="A99" t="s">
        <v>106</v>
      </c>
      <c r="B99" t="s">
        <v>163</v>
      </c>
      <c r="C99" t="s">
        <v>167</v>
      </c>
      <c r="D99" t="s">
        <v>171</v>
      </c>
      <c r="E99">
        <v>89333</v>
      </c>
      <c r="F99" s="23">
        <v>42687</v>
      </c>
      <c r="G99">
        <v>1</v>
      </c>
      <c r="H99" t="s">
        <v>178</v>
      </c>
      <c r="I99" s="28" t="s">
        <v>282</v>
      </c>
      <c r="J99" t="s">
        <v>254</v>
      </c>
    </row>
    <row r="100" spans="1:10" x14ac:dyDescent="0.3">
      <c r="A100" t="s">
        <v>107</v>
      </c>
      <c r="B100" t="s">
        <v>165</v>
      </c>
      <c r="C100" t="s">
        <v>169</v>
      </c>
      <c r="D100" t="s">
        <v>175</v>
      </c>
      <c r="E100">
        <v>70470</v>
      </c>
      <c r="F100" s="23">
        <v>42694</v>
      </c>
      <c r="G100">
        <v>3</v>
      </c>
      <c r="H100" t="s">
        <v>178</v>
      </c>
      <c r="I100" s="28" t="s">
        <v>281</v>
      </c>
      <c r="J100" t="s">
        <v>255</v>
      </c>
    </row>
    <row r="101" spans="1:10" x14ac:dyDescent="0.3">
      <c r="A101" t="s">
        <v>108</v>
      </c>
      <c r="B101" t="s">
        <v>159</v>
      </c>
      <c r="C101" t="s">
        <v>170</v>
      </c>
      <c r="D101" t="s">
        <v>172</v>
      </c>
      <c r="E101">
        <v>70096</v>
      </c>
      <c r="F101" s="23">
        <v>42701</v>
      </c>
      <c r="G101">
        <v>4</v>
      </c>
      <c r="H101" t="s">
        <v>178</v>
      </c>
      <c r="I101" s="28" t="s">
        <v>281</v>
      </c>
      <c r="J101" t="s">
        <v>256</v>
      </c>
    </row>
    <row r="102" spans="1:10" x14ac:dyDescent="0.3">
      <c r="A102" t="s">
        <v>109</v>
      </c>
      <c r="B102" t="s">
        <v>165</v>
      </c>
      <c r="C102" t="s">
        <v>170</v>
      </c>
      <c r="D102" t="s">
        <v>176</v>
      </c>
      <c r="E102">
        <v>66281</v>
      </c>
      <c r="F102" s="23">
        <v>42708</v>
      </c>
      <c r="G102">
        <v>2</v>
      </c>
      <c r="H102" t="s">
        <v>177</v>
      </c>
      <c r="I102" s="28" t="s">
        <v>281</v>
      </c>
      <c r="J102" t="s">
        <v>257</v>
      </c>
    </row>
    <row r="103" spans="1:10" x14ac:dyDescent="0.3">
      <c r="A103" t="s">
        <v>110</v>
      </c>
      <c r="B103" t="s">
        <v>165</v>
      </c>
      <c r="C103" t="s">
        <v>169</v>
      </c>
      <c r="D103" t="s">
        <v>171</v>
      </c>
      <c r="E103">
        <v>66503</v>
      </c>
      <c r="F103" s="23">
        <v>42715</v>
      </c>
      <c r="G103">
        <v>3</v>
      </c>
      <c r="H103" t="s">
        <v>178</v>
      </c>
      <c r="I103" s="28" t="s">
        <v>281</v>
      </c>
      <c r="J103" t="s">
        <v>198</v>
      </c>
    </row>
    <row r="104" spans="1:10" x14ac:dyDescent="0.3">
      <c r="A104" t="s">
        <v>111</v>
      </c>
      <c r="B104" t="s">
        <v>160</v>
      </c>
      <c r="C104" t="s">
        <v>167</v>
      </c>
      <c r="D104" t="s">
        <v>171</v>
      </c>
      <c r="E104">
        <v>42096</v>
      </c>
      <c r="F104" s="23">
        <v>42722</v>
      </c>
      <c r="G104">
        <v>3</v>
      </c>
      <c r="H104" t="s">
        <v>179</v>
      </c>
      <c r="I104" s="28" t="s">
        <v>310</v>
      </c>
      <c r="J104" t="s">
        <v>258</v>
      </c>
    </row>
    <row r="105" spans="1:10" x14ac:dyDescent="0.3">
      <c r="A105" t="s">
        <v>112</v>
      </c>
      <c r="B105" t="s">
        <v>160</v>
      </c>
      <c r="C105" t="s">
        <v>170</v>
      </c>
      <c r="D105" t="s">
        <v>176</v>
      </c>
      <c r="E105">
        <v>79145</v>
      </c>
      <c r="F105" s="23">
        <v>42729</v>
      </c>
      <c r="G105">
        <v>5</v>
      </c>
      <c r="H105" t="s">
        <v>177</v>
      </c>
      <c r="I105" s="28" t="s">
        <v>282</v>
      </c>
      <c r="J105" t="s">
        <v>221</v>
      </c>
    </row>
    <row r="106" spans="1:10" x14ac:dyDescent="0.3">
      <c r="A106" t="s">
        <v>113</v>
      </c>
      <c r="B106" t="s">
        <v>162</v>
      </c>
      <c r="C106" t="s">
        <v>170</v>
      </c>
      <c r="D106" t="s">
        <v>175</v>
      </c>
      <c r="E106">
        <v>61556</v>
      </c>
      <c r="F106" s="23">
        <v>42736</v>
      </c>
      <c r="G106">
        <v>1</v>
      </c>
      <c r="H106" t="s">
        <v>176</v>
      </c>
      <c r="I106" s="28" t="s">
        <v>281</v>
      </c>
      <c r="J106" t="s">
        <v>257</v>
      </c>
    </row>
    <row r="107" spans="1:10" x14ac:dyDescent="0.3">
      <c r="A107" t="s">
        <v>114</v>
      </c>
      <c r="B107" t="s">
        <v>176</v>
      </c>
      <c r="C107" t="s">
        <v>167</v>
      </c>
      <c r="D107" t="s">
        <v>174</v>
      </c>
      <c r="E107">
        <v>87963</v>
      </c>
      <c r="F107" s="23">
        <v>42743</v>
      </c>
      <c r="G107">
        <v>3</v>
      </c>
      <c r="H107" t="s">
        <v>177</v>
      </c>
      <c r="I107" s="28" t="s">
        <v>282</v>
      </c>
      <c r="J107" t="s">
        <v>180</v>
      </c>
    </row>
    <row r="108" spans="1:10" x14ac:dyDescent="0.3">
      <c r="A108" t="s">
        <v>115</v>
      </c>
      <c r="B108" t="s">
        <v>159</v>
      </c>
      <c r="C108" t="s">
        <v>169</v>
      </c>
      <c r="D108" t="s">
        <v>176</v>
      </c>
      <c r="E108">
        <v>48325</v>
      </c>
      <c r="F108" s="23">
        <v>42750</v>
      </c>
      <c r="G108">
        <v>3</v>
      </c>
      <c r="H108" t="s">
        <v>178</v>
      </c>
      <c r="I108" s="28" t="s">
        <v>310</v>
      </c>
      <c r="J108" t="s">
        <v>259</v>
      </c>
    </row>
    <row r="109" spans="1:10" x14ac:dyDescent="0.3">
      <c r="A109" t="s">
        <v>116</v>
      </c>
      <c r="B109" t="s">
        <v>163</v>
      </c>
      <c r="C109" t="s">
        <v>170</v>
      </c>
      <c r="D109" t="s">
        <v>175</v>
      </c>
      <c r="E109">
        <v>86412</v>
      </c>
      <c r="F109" s="23">
        <v>42757</v>
      </c>
      <c r="G109">
        <v>2</v>
      </c>
      <c r="H109" t="s">
        <v>179</v>
      </c>
      <c r="I109" s="28" t="s">
        <v>282</v>
      </c>
      <c r="J109" t="s">
        <v>200</v>
      </c>
    </row>
    <row r="110" spans="1:10" x14ac:dyDescent="0.3">
      <c r="A110" t="s">
        <v>117</v>
      </c>
      <c r="B110" t="s">
        <v>163</v>
      </c>
      <c r="C110" t="s">
        <v>167</v>
      </c>
      <c r="D110" t="s">
        <v>176</v>
      </c>
      <c r="E110">
        <v>66761</v>
      </c>
      <c r="F110" s="23">
        <v>42764</v>
      </c>
      <c r="G110">
        <v>1</v>
      </c>
      <c r="H110" t="s">
        <v>176</v>
      </c>
      <c r="I110" s="28" t="s">
        <v>281</v>
      </c>
      <c r="J110" t="s">
        <v>260</v>
      </c>
    </row>
    <row r="111" spans="1:10" x14ac:dyDescent="0.3">
      <c r="A111" t="s">
        <v>118</v>
      </c>
      <c r="B111" t="s">
        <v>162</v>
      </c>
      <c r="C111" t="s">
        <v>170</v>
      </c>
      <c r="D111" t="s">
        <v>173</v>
      </c>
      <c r="E111">
        <v>88850</v>
      </c>
      <c r="F111" s="23">
        <v>42771</v>
      </c>
      <c r="G111">
        <v>1</v>
      </c>
      <c r="H111" t="s">
        <v>179</v>
      </c>
      <c r="I111" s="28" t="s">
        <v>282</v>
      </c>
      <c r="J111" t="s">
        <v>261</v>
      </c>
    </row>
    <row r="112" spans="1:10" x14ac:dyDescent="0.3">
      <c r="A112" t="s">
        <v>119</v>
      </c>
      <c r="B112" t="s">
        <v>164</v>
      </c>
      <c r="C112" t="s">
        <v>168</v>
      </c>
      <c r="D112" t="s">
        <v>173</v>
      </c>
      <c r="E112">
        <v>31293</v>
      </c>
      <c r="F112" s="23">
        <v>42196</v>
      </c>
      <c r="G112">
        <v>2</v>
      </c>
      <c r="H112" t="s">
        <v>179</v>
      </c>
      <c r="I112" s="28" t="s">
        <v>310</v>
      </c>
      <c r="J112" t="s">
        <v>262</v>
      </c>
    </row>
    <row r="113" spans="1:10" x14ac:dyDescent="0.3">
      <c r="A113" t="s">
        <v>120</v>
      </c>
      <c r="B113" t="s">
        <v>164</v>
      </c>
      <c r="C113" t="s">
        <v>169</v>
      </c>
      <c r="D113" t="s">
        <v>172</v>
      </c>
      <c r="E113">
        <v>34306</v>
      </c>
      <c r="F113" s="23">
        <v>42785</v>
      </c>
      <c r="G113">
        <v>5</v>
      </c>
      <c r="H113" t="s">
        <v>179</v>
      </c>
      <c r="I113" s="28" t="s">
        <v>310</v>
      </c>
      <c r="J113" t="s">
        <v>237</v>
      </c>
    </row>
    <row r="114" spans="1:10" x14ac:dyDescent="0.3">
      <c r="A114" t="s">
        <v>121</v>
      </c>
      <c r="B114" t="s">
        <v>159</v>
      </c>
      <c r="C114" t="s">
        <v>166</v>
      </c>
      <c r="D114" t="s">
        <v>173</v>
      </c>
      <c r="E114">
        <v>78330</v>
      </c>
      <c r="F114" s="23">
        <v>42792</v>
      </c>
      <c r="G114">
        <v>3</v>
      </c>
      <c r="H114" t="s">
        <v>177</v>
      </c>
      <c r="I114" s="28" t="s">
        <v>282</v>
      </c>
      <c r="J114" t="s">
        <v>256</v>
      </c>
    </row>
    <row r="115" spans="1:10" x14ac:dyDescent="0.3">
      <c r="A115" t="s">
        <v>122</v>
      </c>
      <c r="B115" t="s">
        <v>160</v>
      </c>
      <c r="C115" t="s">
        <v>169</v>
      </c>
      <c r="D115" t="s">
        <v>172</v>
      </c>
      <c r="E115">
        <v>47653</v>
      </c>
      <c r="F115" s="23">
        <v>42799</v>
      </c>
      <c r="G115">
        <v>1</v>
      </c>
      <c r="H115" t="s">
        <v>178</v>
      </c>
      <c r="I115" s="28" t="s">
        <v>310</v>
      </c>
      <c r="J115" t="s">
        <v>263</v>
      </c>
    </row>
    <row r="116" spans="1:10" x14ac:dyDescent="0.3">
      <c r="A116" t="s">
        <v>123</v>
      </c>
      <c r="B116" t="s">
        <v>159</v>
      </c>
      <c r="C116" t="s">
        <v>170</v>
      </c>
      <c r="D116" t="s">
        <v>174</v>
      </c>
      <c r="E116">
        <v>44627</v>
      </c>
      <c r="F116" s="23">
        <v>42806</v>
      </c>
      <c r="G116">
        <v>4</v>
      </c>
      <c r="H116" t="s">
        <v>176</v>
      </c>
      <c r="I116" s="28" t="s">
        <v>310</v>
      </c>
      <c r="J116" t="s">
        <v>233</v>
      </c>
    </row>
    <row r="117" spans="1:10" x14ac:dyDescent="0.3">
      <c r="A117" t="s">
        <v>124</v>
      </c>
      <c r="B117" t="s">
        <v>165</v>
      </c>
      <c r="C117" t="s">
        <v>167</v>
      </c>
      <c r="D117" t="s">
        <v>171</v>
      </c>
      <c r="E117">
        <v>92343</v>
      </c>
      <c r="F117" s="23">
        <v>42813</v>
      </c>
      <c r="G117">
        <v>4</v>
      </c>
      <c r="H117" t="s">
        <v>179</v>
      </c>
      <c r="I117" s="28" t="s">
        <v>282</v>
      </c>
      <c r="J117" t="s">
        <v>201</v>
      </c>
    </row>
    <row r="118" spans="1:10" x14ac:dyDescent="0.3">
      <c r="A118" t="s">
        <v>125</v>
      </c>
      <c r="B118" t="s">
        <v>165</v>
      </c>
      <c r="C118" t="s">
        <v>170</v>
      </c>
      <c r="D118" t="s">
        <v>175</v>
      </c>
      <c r="E118">
        <v>38837</v>
      </c>
      <c r="F118" s="23">
        <v>42820</v>
      </c>
      <c r="G118">
        <v>5</v>
      </c>
      <c r="H118" t="s">
        <v>179</v>
      </c>
      <c r="I118" s="28" t="s">
        <v>310</v>
      </c>
      <c r="J118" t="s">
        <v>237</v>
      </c>
    </row>
    <row r="119" spans="1:10" x14ac:dyDescent="0.3">
      <c r="A119" t="s">
        <v>126</v>
      </c>
      <c r="B119" t="s">
        <v>165</v>
      </c>
      <c r="C119" t="s">
        <v>170</v>
      </c>
      <c r="D119" t="s">
        <v>176</v>
      </c>
      <c r="E119">
        <v>73483</v>
      </c>
      <c r="F119" s="23">
        <v>42827</v>
      </c>
      <c r="G119">
        <v>1</v>
      </c>
      <c r="H119" t="s">
        <v>176</v>
      </c>
      <c r="I119" s="28" t="s">
        <v>281</v>
      </c>
      <c r="J119" t="s">
        <v>264</v>
      </c>
    </row>
    <row r="120" spans="1:10" x14ac:dyDescent="0.3">
      <c r="A120" t="s">
        <v>127</v>
      </c>
      <c r="B120" t="s">
        <v>164</v>
      </c>
      <c r="C120" t="s">
        <v>168</v>
      </c>
      <c r="D120" t="s">
        <v>173</v>
      </c>
      <c r="E120">
        <v>95032</v>
      </c>
      <c r="F120" s="23">
        <v>42834</v>
      </c>
      <c r="G120">
        <v>3</v>
      </c>
      <c r="H120" t="s">
        <v>176</v>
      </c>
      <c r="I120" s="28" t="s">
        <v>282</v>
      </c>
      <c r="J120" t="s">
        <v>265</v>
      </c>
    </row>
    <row r="121" spans="1:10" x14ac:dyDescent="0.3">
      <c r="A121" t="s">
        <v>128</v>
      </c>
      <c r="B121" t="s">
        <v>159</v>
      </c>
      <c r="C121" t="s">
        <v>168</v>
      </c>
      <c r="D121" t="s">
        <v>175</v>
      </c>
      <c r="E121">
        <v>44358</v>
      </c>
      <c r="F121" s="23">
        <v>42841</v>
      </c>
      <c r="G121">
        <v>3</v>
      </c>
      <c r="H121" t="s">
        <v>179</v>
      </c>
      <c r="I121" s="28" t="s">
        <v>310</v>
      </c>
      <c r="J121" t="s">
        <v>198</v>
      </c>
    </row>
    <row r="122" spans="1:10" x14ac:dyDescent="0.3">
      <c r="A122" t="s">
        <v>129</v>
      </c>
      <c r="B122" t="s">
        <v>176</v>
      </c>
      <c r="C122" t="s">
        <v>169</v>
      </c>
      <c r="D122" t="s">
        <v>172</v>
      </c>
      <c r="E122">
        <v>66281</v>
      </c>
      <c r="F122" s="23">
        <v>42196</v>
      </c>
      <c r="G122">
        <v>5</v>
      </c>
      <c r="H122" t="s">
        <v>176</v>
      </c>
      <c r="I122" s="28" t="s">
        <v>281</v>
      </c>
      <c r="J122" t="s">
        <v>266</v>
      </c>
    </row>
    <row r="123" spans="1:10" x14ac:dyDescent="0.3">
      <c r="A123" t="s">
        <v>130</v>
      </c>
      <c r="B123" t="s">
        <v>164</v>
      </c>
      <c r="C123" t="s">
        <v>168</v>
      </c>
      <c r="D123" t="s">
        <v>172</v>
      </c>
      <c r="E123">
        <v>45676</v>
      </c>
      <c r="F123" s="23">
        <v>42855</v>
      </c>
      <c r="G123">
        <v>2</v>
      </c>
      <c r="H123" t="s">
        <v>176</v>
      </c>
      <c r="I123" s="28" t="s">
        <v>310</v>
      </c>
      <c r="J123" t="s">
        <v>267</v>
      </c>
    </row>
    <row r="124" spans="1:10" x14ac:dyDescent="0.3">
      <c r="A124" t="s">
        <v>131</v>
      </c>
      <c r="B124" t="s">
        <v>165</v>
      </c>
      <c r="C124" t="s">
        <v>168</v>
      </c>
      <c r="D124" t="s">
        <v>171</v>
      </c>
      <c r="E124">
        <v>52036</v>
      </c>
      <c r="F124" s="23">
        <v>42862</v>
      </c>
      <c r="G124">
        <v>3</v>
      </c>
      <c r="H124" t="s">
        <v>178</v>
      </c>
      <c r="I124" s="28" t="s">
        <v>281</v>
      </c>
      <c r="J124" t="s">
        <v>268</v>
      </c>
    </row>
    <row r="125" spans="1:10" x14ac:dyDescent="0.3">
      <c r="A125" t="s">
        <v>132</v>
      </c>
      <c r="B125" t="s">
        <v>162</v>
      </c>
      <c r="C125" t="s">
        <v>170</v>
      </c>
      <c r="D125" t="s">
        <v>171</v>
      </c>
      <c r="E125">
        <v>30357</v>
      </c>
      <c r="F125" s="23">
        <v>42869</v>
      </c>
      <c r="G125">
        <v>5</v>
      </c>
      <c r="H125" t="s">
        <v>178</v>
      </c>
      <c r="I125" s="28" t="s">
        <v>310</v>
      </c>
      <c r="J125" t="s">
        <v>246</v>
      </c>
    </row>
    <row r="126" spans="1:10" x14ac:dyDescent="0.3">
      <c r="A126" t="s">
        <v>133</v>
      </c>
      <c r="B126" t="s">
        <v>161</v>
      </c>
      <c r="C126" t="s">
        <v>169</v>
      </c>
      <c r="D126" t="s">
        <v>176</v>
      </c>
      <c r="E126">
        <v>60034</v>
      </c>
      <c r="F126" s="23">
        <v>42876</v>
      </c>
      <c r="G126">
        <v>1</v>
      </c>
      <c r="H126" t="s">
        <v>179</v>
      </c>
      <c r="I126" s="28" t="s">
        <v>281</v>
      </c>
      <c r="J126" t="s">
        <v>269</v>
      </c>
    </row>
    <row r="127" spans="1:10" x14ac:dyDescent="0.3">
      <c r="A127" t="s">
        <v>134</v>
      </c>
      <c r="B127" t="s">
        <v>161</v>
      </c>
      <c r="C127" t="s">
        <v>166</v>
      </c>
      <c r="D127" t="s">
        <v>176</v>
      </c>
      <c r="E127">
        <v>90019</v>
      </c>
      <c r="F127" s="23">
        <v>42883</v>
      </c>
      <c r="G127">
        <v>5</v>
      </c>
      <c r="H127" t="s">
        <v>176</v>
      </c>
      <c r="I127" s="28" t="s">
        <v>282</v>
      </c>
      <c r="J127" t="s">
        <v>270</v>
      </c>
    </row>
    <row r="128" spans="1:10" x14ac:dyDescent="0.3">
      <c r="A128" t="s">
        <v>135</v>
      </c>
      <c r="B128" t="s">
        <v>165</v>
      </c>
      <c r="C128" t="s">
        <v>170</v>
      </c>
      <c r="D128" t="s">
        <v>171</v>
      </c>
      <c r="E128">
        <v>71494</v>
      </c>
      <c r="F128" s="23">
        <v>42890</v>
      </c>
      <c r="G128">
        <v>3</v>
      </c>
      <c r="H128" t="s">
        <v>178</v>
      </c>
      <c r="I128" s="28" t="s">
        <v>281</v>
      </c>
      <c r="J128" t="s">
        <v>271</v>
      </c>
    </row>
    <row r="129" spans="1:10" x14ac:dyDescent="0.3">
      <c r="A129" t="s">
        <v>136</v>
      </c>
      <c r="B129" t="s">
        <v>161</v>
      </c>
      <c r="C129" t="s">
        <v>166</v>
      </c>
      <c r="D129" t="s">
        <v>172</v>
      </c>
      <c r="E129">
        <v>91953</v>
      </c>
      <c r="F129" s="23">
        <v>42897</v>
      </c>
      <c r="G129">
        <v>2</v>
      </c>
      <c r="H129" t="s">
        <v>178</v>
      </c>
      <c r="I129" s="28" t="s">
        <v>282</v>
      </c>
      <c r="J129" t="s">
        <v>207</v>
      </c>
    </row>
    <row r="130" spans="1:10" x14ac:dyDescent="0.3">
      <c r="A130" t="s">
        <v>137</v>
      </c>
      <c r="B130" t="s">
        <v>164</v>
      </c>
      <c r="C130" t="s">
        <v>168</v>
      </c>
      <c r="D130" t="s">
        <v>172</v>
      </c>
      <c r="E130">
        <v>30402</v>
      </c>
      <c r="F130" s="23">
        <v>42904</v>
      </c>
      <c r="G130">
        <v>1</v>
      </c>
      <c r="H130" t="s">
        <v>176</v>
      </c>
      <c r="I130" s="28" t="s">
        <v>310</v>
      </c>
      <c r="J130" t="s">
        <v>272</v>
      </c>
    </row>
    <row r="131" spans="1:10" x14ac:dyDescent="0.3">
      <c r="A131" t="s">
        <v>138</v>
      </c>
      <c r="B131" t="s">
        <v>165</v>
      </c>
      <c r="C131" t="s">
        <v>170</v>
      </c>
      <c r="D131" t="s">
        <v>174</v>
      </c>
      <c r="E131">
        <v>62994</v>
      </c>
      <c r="F131" s="23">
        <v>42911</v>
      </c>
      <c r="G131">
        <v>3</v>
      </c>
      <c r="H131" t="s">
        <v>176</v>
      </c>
      <c r="I131" s="28" t="s">
        <v>281</v>
      </c>
      <c r="J131" t="s">
        <v>219</v>
      </c>
    </row>
    <row r="132" spans="1:10" x14ac:dyDescent="0.3">
      <c r="A132" t="s">
        <v>139</v>
      </c>
      <c r="B132" t="s">
        <v>160</v>
      </c>
      <c r="C132" t="s">
        <v>168</v>
      </c>
      <c r="D132" t="s">
        <v>173</v>
      </c>
      <c r="E132">
        <v>48289</v>
      </c>
      <c r="F132" s="23">
        <v>42196</v>
      </c>
      <c r="G132">
        <v>3</v>
      </c>
      <c r="H132" t="s">
        <v>178</v>
      </c>
      <c r="I132" s="28" t="s">
        <v>310</v>
      </c>
      <c r="J132" t="s">
        <v>187</v>
      </c>
    </row>
    <row r="133" spans="1:10" x14ac:dyDescent="0.3">
      <c r="A133" t="s">
        <v>140</v>
      </c>
      <c r="B133" t="s">
        <v>163</v>
      </c>
      <c r="C133" t="s">
        <v>170</v>
      </c>
      <c r="D133" t="s">
        <v>171</v>
      </c>
      <c r="E133">
        <v>34402</v>
      </c>
      <c r="F133" s="23">
        <v>42925</v>
      </c>
      <c r="G133">
        <v>3</v>
      </c>
      <c r="H133" t="s">
        <v>177</v>
      </c>
      <c r="I133" s="28" t="s">
        <v>310</v>
      </c>
      <c r="J133" t="s">
        <v>216</v>
      </c>
    </row>
    <row r="134" spans="1:10" x14ac:dyDescent="0.3">
      <c r="A134" t="s">
        <v>141</v>
      </c>
      <c r="B134" t="s">
        <v>159</v>
      </c>
      <c r="C134" t="s">
        <v>167</v>
      </c>
      <c r="D134" t="s">
        <v>172</v>
      </c>
      <c r="E134">
        <v>38678</v>
      </c>
      <c r="F134" s="23">
        <v>42932</v>
      </c>
      <c r="G134">
        <v>3</v>
      </c>
      <c r="H134" t="s">
        <v>177</v>
      </c>
      <c r="I134" s="28" t="s">
        <v>310</v>
      </c>
      <c r="J134" t="s">
        <v>273</v>
      </c>
    </row>
    <row r="135" spans="1:10" x14ac:dyDescent="0.3">
      <c r="A135" t="s">
        <v>142</v>
      </c>
      <c r="B135" t="s">
        <v>164</v>
      </c>
      <c r="C135" t="s">
        <v>167</v>
      </c>
      <c r="D135" t="s">
        <v>171</v>
      </c>
      <c r="E135">
        <v>45758</v>
      </c>
      <c r="F135" s="23">
        <v>42939</v>
      </c>
      <c r="G135">
        <v>3</v>
      </c>
      <c r="H135" t="s">
        <v>176</v>
      </c>
      <c r="I135" s="28" t="s">
        <v>310</v>
      </c>
      <c r="J135" t="s">
        <v>262</v>
      </c>
    </row>
    <row r="136" spans="1:10" x14ac:dyDescent="0.3">
      <c r="A136" t="s">
        <v>143</v>
      </c>
      <c r="B136" t="s">
        <v>159</v>
      </c>
      <c r="C136" t="s">
        <v>170</v>
      </c>
      <c r="D136" t="s">
        <v>173</v>
      </c>
      <c r="E136">
        <v>62476</v>
      </c>
      <c r="F136" s="23">
        <v>42946</v>
      </c>
      <c r="G136">
        <v>1</v>
      </c>
      <c r="H136" t="s">
        <v>177</v>
      </c>
      <c r="I136" s="28" t="s">
        <v>281</v>
      </c>
      <c r="J136" t="s">
        <v>229</v>
      </c>
    </row>
    <row r="137" spans="1:10" x14ac:dyDescent="0.3">
      <c r="A137" t="s">
        <v>144</v>
      </c>
      <c r="B137" t="s">
        <v>176</v>
      </c>
      <c r="C137" t="s">
        <v>169</v>
      </c>
      <c r="D137" t="s">
        <v>174</v>
      </c>
      <c r="E137">
        <v>39280</v>
      </c>
      <c r="F137" s="23">
        <v>42953</v>
      </c>
      <c r="G137">
        <v>3</v>
      </c>
      <c r="H137" t="s">
        <v>179</v>
      </c>
      <c r="I137" s="28" t="s">
        <v>310</v>
      </c>
      <c r="J137" t="s">
        <v>212</v>
      </c>
    </row>
    <row r="138" spans="1:10" x14ac:dyDescent="0.3">
      <c r="A138" t="s">
        <v>145</v>
      </c>
      <c r="B138" t="s">
        <v>162</v>
      </c>
      <c r="C138" t="s">
        <v>166</v>
      </c>
      <c r="D138" t="s">
        <v>173</v>
      </c>
      <c r="E138">
        <v>60335</v>
      </c>
      <c r="F138" s="23">
        <v>42960</v>
      </c>
      <c r="G138">
        <v>4</v>
      </c>
      <c r="H138" t="s">
        <v>177</v>
      </c>
      <c r="I138" s="28" t="s">
        <v>281</v>
      </c>
      <c r="J138" t="s">
        <v>225</v>
      </c>
    </row>
    <row r="139" spans="1:10" x14ac:dyDescent="0.3">
      <c r="A139" t="s">
        <v>146</v>
      </c>
      <c r="B139" t="s">
        <v>164</v>
      </c>
      <c r="C139" t="s">
        <v>167</v>
      </c>
      <c r="D139" t="s">
        <v>171</v>
      </c>
      <c r="E139">
        <v>84968</v>
      </c>
      <c r="F139" s="23">
        <v>42967</v>
      </c>
      <c r="G139">
        <v>3</v>
      </c>
      <c r="H139" t="s">
        <v>176</v>
      </c>
      <c r="I139" s="28" t="s">
        <v>282</v>
      </c>
      <c r="J139" t="s">
        <v>274</v>
      </c>
    </row>
    <row r="140" spans="1:10" x14ac:dyDescent="0.3">
      <c r="A140" t="s">
        <v>147</v>
      </c>
      <c r="B140" t="s">
        <v>164</v>
      </c>
      <c r="C140" t="s">
        <v>170</v>
      </c>
      <c r="D140" t="s">
        <v>175</v>
      </c>
      <c r="E140">
        <v>84750</v>
      </c>
      <c r="F140" s="23">
        <v>42974</v>
      </c>
      <c r="G140">
        <v>4</v>
      </c>
      <c r="H140" t="s">
        <v>179</v>
      </c>
      <c r="I140" s="28" t="s">
        <v>282</v>
      </c>
      <c r="J140" t="s">
        <v>193</v>
      </c>
    </row>
    <row r="141" spans="1:10" x14ac:dyDescent="0.3">
      <c r="A141" t="s">
        <v>148</v>
      </c>
      <c r="B141" t="s">
        <v>165</v>
      </c>
      <c r="C141" t="s">
        <v>169</v>
      </c>
      <c r="D141" t="s">
        <v>176</v>
      </c>
      <c r="E141">
        <v>73348</v>
      </c>
      <c r="F141" s="23">
        <v>42981</v>
      </c>
      <c r="G141">
        <v>2</v>
      </c>
      <c r="H141" t="s">
        <v>176</v>
      </c>
      <c r="I141" s="28" t="s">
        <v>281</v>
      </c>
      <c r="J141" t="s">
        <v>241</v>
      </c>
    </row>
    <row r="142" spans="1:10" x14ac:dyDescent="0.3">
      <c r="A142" t="s">
        <v>149</v>
      </c>
      <c r="B142" t="s">
        <v>164</v>
      </c>
      <c r="C142" t="s">
        <v>168</v>
      </c>
      <c r="D142" t="s">
        <v>172</v>
      </c>
      <c r="E142">
        <v>66281</v>
      </c>
      <c r="F142" s="23">
        <v>42988</v>
      </c>
      <c r="G142">
        <v>4</v>
      </c>
      <c r="H142" t="s">
        <v>177</v>
      </c>
      <c r="I142" s="28" t="s">
        <v>281</v>
      </c>
      <c r="J142" t="s">
        <v>180</v>
      </c>
    </row>
    <row r="143" spans="1:10" x14ac:dyDescent="0.3">
      <c r="A143" t="s">
        <v>150</v>
      </c>
      <c r="B143" t="s">
        <v>162</v>
      </c>
      <c r="C143" t="s">
        <v>170</v>
      </c>
      <c r="D143" t="s">
        <v>172</v>
      </c>
      <c r="E143">
        <v>66882</v>
      </c>
      <c r="F143" s="23">
        <v>42995</v>
      </c>
      <c r="G143">
        <v>5</v>
      </c>
      <c r="H143" t="s">
        <v>177</v>
      </c>
      <c r="I143" s="28" t="s">
        <v>281</v>
      </c>
      <c r="J143" t="s">
        <v>205</v>
      </c>
    </row>
    <row r="144" spans="1:10" x14ac:dyDescent="0.3">
      <c r="A144" t="s">
        <v>151</v>
      </c>
      <c r="B144" t="s">
        <v>160</v>
      </c>
      <c r="C144" t="s">
        <v>170</v>
      </c>
      <c r="D144" t="s">
        <v>176</v>
      </c>
      <c r="E144">
        <v>86775</v>
      </c>
      <c r="F144" s="23">
        <v>43002</v>
      </c>
      <c r="G144">
        <v>3</v>
      </c>
      <c r="H144" t="s">
        <v>177</v>
      </c>
      <c r="I144" s="28" t="s">
        <v>282</v>
      </c>
      <c r="J144" t="s">
        <v>210</v>
      </c>
    </row>
    <row r="145" spans="1:10" x14ac:dyDescent="0.3">
      <c r="A145" t="s">
        <v>152</v>
      </c>
      <c r="B145" t="s">
        <v>164</v>
      </c>
      <c r="C145" t="s">
        <v>168</v>
      </c>
      <c r="D145" t="s">
        <v>174</v>
      </c>
      <c r="E145">
        <v>91620</v>
      </c>
      <c r="F145" s="23">
        <v>43009</v>
      </c>
      <c r="G145">
        <v>3</v>
      </c>
      <c r="H145" t="s">
        <v>176</v>
      </c>
      <c r="I145" s="28" t="s">
        <v>282</v>
      </c>
      <c r="J145" t="s">
        <v>275</v>
      </c>
    </row>
    <row r="146" spans="1:10" x14ac:dyDescent="0.3">
      <c r="A146" t="s">
        <v>153</v>
      </c>
      <c r="B146" t="s">
        <v>159</v>
      </c>
      <c r="C146" t="s">
        <v>170</v>
      </c>
      <c r="D146" t="s">
        <v>176</v>
      </c>
      <c r="E146">
        <v>94148</v>
      </c>
      <c r="F146" s="23">
        <v>43016</v>
      </c>
      <c r="G146">
        <v>2</v>
      </c>
      <c r="H146" t="s">
        <v>176</v>
      </c>
      <c r="I146" s="28" t="s">
        <v>282</v>
      </c>
      <c r="J146" t="s">
        <v>276</v>
      </c>
    </row>
    <row r="147" spans="1:10" x14ac:dyDescent="0.3">
      <c r="A147" t="s">
        <v>154</v>
      </c>
      <c r="B147" t="s">
        <v>163</v>
      </c>
      <c r="C147" t="s">
        <v>168</v>
      </c>
      <c r="D147" t="s">
        <v>175</v>
      </c>
      <c r="E147">
        <v>35627</v>
      </c>
      <c r="F147" s="23">
        <v>43023</v>
      </c>
      <c r="G147">
        <v>5</v>
      </c>
      <c r="H147" t="s">
        <v>179</v>
      </c>
      <c r="I147" s="28" t="s">
        <v>310</v>
      </c>
      <c r="J147" t="s">
        <v>273</v>
      </c>
    </row>
    <row r="148" spans="1:10" x14ac:dyDescent="0.3">
      <c r="A148" t="s">
        <v>155</v>
      </c>
      <c r="B148" t="s">
        <v>161</v>
      </c>
      <c r="C148" t="s">
        <v>170</v>
      </c>
      <c r="D148" t="s">
        <v>172</v>
      </c>
      <c r="E148">
        <v>57141</v>
      </c>
      <c r="F148" s="23">
        <v>43030</v>
      </c>
      <c r="G148">
        <v>2</v>
      </c>
      <c r="H148" t="s">
        <v>176</v>
      </c>
      <c r="I148" s="28" t="s">
        <v>281</v>
      </c>
      <c r="J148" t="s">
        <v>274</v>
      </c>
    </row>
    <row r="149" spans="1:10" x14ac:dyDescent="0.3">
      <c r="A149" t="s">
        <v>156</v>
      </c>
      <c r="B149" t="s">
        <v>165</v>
      </c>
      <c r="C149" t="s">
        <v>168</v>
      </c>
      <c r="D149" t="s">
        <v>175</v>
      </c>
      <c r="E149">
        <v>65270</v>
      </c>
      <c r="F149" s="23">
        <v>43037</v>
      </c>
      <c r="G149">
        <v>1</v>
      </c>
      <c r="H149" t="s">
        <v>176</v>
      </c>
      <c r="I149" s="28" t="s">
        <v>281</v>
      </c>
      <c r="J149" t="s">
        <v>277</v>
      </c>
    </row>
    <row r="150" spans="1:10" x14ac:dyDescent="0.3">
      <c r="A150" t="s">
        <v>157</v>
      </c>
      <c r="B150" t="s">
        <v>165</v>
      </c>
      <c r="C150" t="s">
        <v>170</v>
      </c>
      <c r="D150" t="s">
        <v>174</v>
      </c>
      <c r="E150">
        <v>67335</v>
      </c>
      <c r="F150" s="23">
        <v>43044</v>
      </c>
      <c r="G150">
        <v>1</v>
      </c>
      <c r="H150" t="s">
        <v>177</v>
      </c>
      <c r="I150" s="28" t="s">
        <v>281</v>
      </c>
      <c r="J150" t="s">
        <v>231</v>
      </c>
    </row>
    <row r="151" spans="1:10" x14ac:dyDescent="0.3">
      <c r="A151" t="s">
        <v>158</v>
      </c>
      <c r="B151" t="s">
        <v>163</v>
      </c>
      <c r="C151" t="s">
        <v>170</v>
      </c>
      <c r="D151" t="s">
        <v>173</v>
      </c>
      <c r="E151">
        <v>98475</v>
      </c>
      <c r="F151" s="23">
        <v>43051</v>
      </c>
      <c r="G151">
        <v>5</v>
      </c>
      <c r="H151" t="s">
        <v>177</v>
      </c>
      <c r="I151" s="28" t="s">
        <v>282</v>
      </c>
      <c r="J151" t="s">
        <v>278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1"/>
  <sheetViews>
    <sheetView topLeftCell="A2" zoomScaleNormal="100" workbookViewId="0">
      <pane xSplit="1" topLeftCell="B1" activePane="topRight" state="frozen"/>
      <selection pane="topRight" activeCell="I12" sqref="I12"/>
    </sheetView>
  </sheetViews>
  <sheetFormatPr defaultRowHeight="14.4" x14ac:dyDescent="0.3"/>
  <cols>
    <col min="1" max="1" width="16" style="6" bestFit="1" customWidth="1"/>
    <col min="2" max="2" width="11.33203125" style="6" bestFit="1" customWidth="1"/>
    <col min="3" max="3" width="13.33203125" style="6" bestFit="1" customWidth="1"/>
    <col min="4" max="4" width="10" style="6" bestFit="1" customWidth="1"/>
    <col min="5" max="5" width="12" style="2" bestFit="1" customWidth="1"/>
    <col min="6" max="6" width="20.77734375" style="6" customWidth="1"/>
    <col min="7" max="7" width="14" style="22" bestFit="1" customWidth="1"/>
    <col min="8" max="8" width="20.44140625" style="6" bestFit="1" customWidth="1"/>
    <col min="9" max="9" width="20.5546875" customWidth="1"/>
    <col min="10" max="10" width="22" customWidth="1"/>
    <col min="11" max="11" width="8.21875" customWidth="1"/>
    <col min="12" max="12" width="22.21875" bestFit="1" customWidth="1"/>
    <col min="13" max="13" width="8" bestFit="1" customWidth="1"/>
    <col min="14" max="14" width="9.6640625" bestFit="1" customWidth="1"/>
    <col min="15" max="15" width="8" bestFit="1" customWidth="1"/>
    <col min="16" max="16" width="10.77734375" bestFit="1" customWidth="1"/>
  </cols>
  <sheetData>
    <row r="1" spans="1:13" s="6" customFormat="1" x14ac:dyDescent="0.3">
      <c r="A1" s="8" t="s">
        <v>0</v>
      </c>
      <c r="B1" s="8" t="s">
        <v>1</v>
      </c>
      <c r="C1" s="8" t="s">
        <v>2</v>
      </c>
      <c r="D1" s="8" t="s">
        <v>3</v>
      </c>
      <c r="E1" s="9" t="s">
        <v>4</v>
      </c>
      <c r="F1" s="9" t="s">
        <v>5</v>
      </c>
      <c r="G1" s="19" t="s">
        <v>6</v>
      </c>
      <c r="H1" s="8" t="s">
        <v>7</v>
      </c>
      <c r="I1" s="8" t="s">
        <v>279</v>
      </c>
      <c r="J1" s="8" t="s">
        <v>8</v>
      </c>
    </row>
    <row r="2" spans="1:13" x14ac:dyDescent="0.3">
      <c r="A2" s="14" t="s">
        <v>9</v>
      </c>
      <c r="B2" s="15" t="s">
        <v>176</v>
      </c>
      <c r="C2" s="5" t="s">
        <v>166</v>
      </c>
      <c r="D2" s="5" t="s">
        <v>176</v>
      </c>
      <c r="E2" s="3">
        <v>66281</v>
      </c>
      <c r="F2" s="4">
        <v>42196</v>
      </c>
      <c r="G2" s="20">
        <v>2</v>
      </c>
      <c r="H2" s="5" t="s">
        <v>176</v>
      </c>
      <c r="I2" s="5" t="str">
        <f>IF(E2&gt;75000,"High Salary",IF(E2&gt;50000,"Normal Salary","low salary"))</f>
        <v>Normal Salary</v>
      </c>
      <c r="J2" s="5" t="s">
        <v>180</v>
      </c>
    </row>
    <row r="3" spans="1:13" x14ac:dyDescent="0.3">
      <c r="A3" s="7" t="s">
        <v>10</v>
      </c>
      <c r="B3" s="5" t="s">
        <v>159</v>
      </c>
      <c r="C3" s="5" t="s">
        <v>167</v>
      </c>
      <c r="D3" s="5" t="s">
        <v>171</v>
      </c>
      <c r="E3" s="3">
        <v>54255</v>
      </c>
      <c r="F3" s="4">
        <v>42015</v>
      </c>
      <c r="G3" s="20">
        <v>1</v>
      </c>
      <c r="H3" s="5" t="s">
        <v>177</v>
      </c>
      <c r="I3" s="5" t="str">
        <f t="shared" ref="I3:I66" si="0">IF(E3&gt;75000,"High Salary",IF(E3&gt;50000,"Normal Salary","low salary"))</f>
        <v>Normal Salary</v>
      </c>
      <c r="J3" s="5" t="s">
        <v>181</v>
      </c>
    </row>
    <row r="4" spans="1:13" ht="15" thickBot="1" x14ac:dyDescent="0.35">
      <c r="A4" s="7" t="s">
        <v>11</v>
      </c>
      <c r="B4" s="5" t="s">
        <v>160</v>
      </c>
      <c r="C4" s="5" t="s">
        <v>166</v>
      </c>
      <c r="D4" s="5" t="s">
        <v>171</v>
      </c>
      <c r="E4" s="3">
        <v>63184</v>
      </c>
      <c r="F4" s="4">
        <v>42022</v>
      </c>
      <c r="G4" s="20">
        <v>2</v>
      </c>
      <c r="H4" s="5" t="s">
        <v>176</v>
      </c>
      <c r="I4" s="5" t="str">
        <f t="shared" si="0"/>
        <v>Normal Salary</v>
      </c>
      <c r="J4" s="5" t="s">
        <v>182</v>
      </c>
    </row>
    <row r="5" spans="1:13" x14ac:dyDescent="0.3">
      <c r="A5" s="7" t="s">
        <v>12</v>
      </c>
      <c r="B5" s="5" t="s">
        <v>161</v>
      </c>
      <c r="C5" s="5" t="s">
        <v>168</v>
      </c>
      <c r="D5" s="5" t="s">
        <v>172</v>
      </c>
      <c r="E5" s="3">
        <v>94406</v>
      </c>
      <c r="F5" s="4">
        <v>42029</v>
      </c>
      <c r="G5" s="20">
        <v>1</v>
      </c>
      <c r="H5" s="5" t="s">
        <v>178</v>
      </c>
      <c r="I5" s="5" t="str">
        <f t="shared" si="0"/>
        <v>High Salary</v>
      </c>
      <c r="J5" s="5" t="s">
        <v>183</v>
      </c>
      <c r="L5" s="18" t="s">
        <v>4</v>
      </c>
      <c r="M5" s="18"/>
    </row>
    <row r="6" spans="1:13" x14ac:dyDescent="0.3">
      <c r="A6" s="7" t="s">
        <v>13</v>
      </c>
      <c r="B6" s="5" t="s">
        <v>162</v>
      </c>
      <c r="C6" s="5" t="s">
        <v>168</v>
      </c>
      <c r="D6" s="5" t="s">
        <v>171</v>
      </c>
      <c r="E6" s="3">
        <v>64120</v>
      </c>
      <c r="F6" s="4">
        <v>42036</v>
      </c>
      <c r="G6" s="20">
        <v>1</v>
      </c>
      <c r="H6" s="5" t="s">
        <v>178</v>
      </c>
      <c r="I6" s="5" t="str">
        <f t="shared" si="0"/>
        <v>Normal Salary</v>
      </c>
      <c r="J6" s="5" t="s">
        <v>184</v>
      </c>
    </row>
    <row r="7" spans="1:13" x14ac:dyDescent="0.3">
      <c r="A7" s="7" t="s">
        <v>14</v>
      </c>
      <c r="B7" s="5" t="s">
        <v>160</v>
      </c>
      <c r="C7" s="5" t="s">
        <v>169</v>
      </c>
      <c r="D7" s="5" t="s">
        <v>173</v>
      </c>
      <c r="E7" s="3">
        <v>78421</v>
      </c>
      <c r="F7" s="4">
        <v>42043</v>
      </c>
      <c r="G7" s="20">
        <v>2</v>
      </c>
      <c r="H7" s="5" t="s">
        <v>179</v>
      </c>
      <c r="I7" s="5" t="str">
        <f t="shared" si="0"/>
        <v>High Salary</v>
      </c>
      <c r="J7" s="5" t="s">
        <v>185</v>
      </c>
      <c r="L7" t="s">
        <v>284</v>
      </c>
      <c r="M7">
        <v>66280.933333333334</v>
      </c>
    </row>
    <row r="8" spans="1:13" x14ac:dyDescent="0.3">
      <c r="A8" s="7" t="s">
        <v>15</v>
      </c>
      <c r="B8" s="5" t="s">
        <v>163</v>
      </c>
      <c r="C8" s="5" t="s">
        <v>168</v>
      </c>
      <c r="D8" s="5" t="s">
        <v>176</v>
      </c>
      <c r="E8" s="3">
        <v>67721</v>
      </c>
      <c r="F8" s="4">
        <v>42050</v>
      </c>
      <c r="G8" s="20">
        <v>3</v>
      </c>
      <c r="H8" s="5" t="s">
        <v>178</v>
      </c>
      <c r="I8" s="5" t="str">
        <f t="shared" si="0"/>
        <v>Normal Salary</v>
      </c>
      <c r="J8" s="5" t="s">
        <v>183</v>
      </c>
      <c r="L8" t="s">
        <v>285</v>
      </c>
      <c r="M8">
        <v>1718.2270743112938</v>
      </c>
    </row>
    <row r="9" spans="1:13" x14ac:dyDescent="0.3">
      <c r="A9" s="7" t="s">
        <v>16</v>
      </c>
      <c r="B9" s="5" t="s">
        <v>164</v>
      </c>
      <c r="C9" s="5" t="s">
        <v>170</v>
      </c>
      <c r="D9" s="5" t="s">
        <v>176</v>
      </c>
      <c r="E9" s="3">
        <v>35364</v>
      </c>
      <c r="F9" s="4">
        <v>42057</v>
      </c>
      <c r="G9" s="20">
        <v>2</v>
      </c>
      <c r="H9" s="5" t="s">
        <v>177</v>
      </c>
      <c r="I9" s="5" t="str">
        <f t="shared" si="0"/>
        <v>low salary</v>
      </c>
      <c r="J9" s="5" t="s">
        <v>186</v>
      </c>
      <c r="L9" t="s">
        <v>286</v>
      </c>
      <c r="M9">
        <v>66281</v>
      </c>
    </row>
    <row r="10" spans="1:13" x14ac:dyDescent="0.3">
      <c r="A10" s="7" t="s">
        <v>17</v>
      </c>
      <c r="B10" s="5" t="s">
        <v>160</v>
      </c>
      <c r="C10" s="5" t="s">
        <v>169</v>
      </c>
      <c r="D10" s="5" t="s">
        <v>171</v>
      </c>
      <c r="E10" s="3">
        <v>97881</v>
      </c>
      <c r="F10" s="4">
        <v>42064</v>
      </c>
      <c r="G10" s="20">
        <v>3</v>
      </c>
      <c r="H10" s="5" t="s">
        <v>179</v>
      </c>
      <c r="I10" s="5" t="str">
        <f t="shared" si="0"/>
        <v>High Salary</v>
      </c>
      <c r="J10" s="5" t="s">
        <v>187</v>
      </c>
      <c r="L10" t="s">
        <v>287</v>
      </c>
      <c r="M10">
        <v>66281</v>
      </c>
    </row>
    <row r="11" spans="1:13" x14ac:dyDescent="0.3">
      <c r="A11" s="7" t="s">
        <v>18</v>
      </c>
      <c r="B11" s="5" t="s">
        <v>164</v>
      </c>
      <c r="C11" s="5" t="s">
        <v>167</v>
      </c>
      <c r="D11" s="5" t="s">
        <v>174</v>
      </c>
      <c r="E11" s="3">
        <v>91846</v>
      </c>
      <c r="F11" s="4">
        <v>42071</v>
      </c>
      <c r="G11" s="20">
        <v>3</v>
      </c>
      <c r="H11" s="5" t="s">
        <v>178</v>
      </c>
      <c r="I11" s="5" t="str">
        <f t="shared" si="0"/>
        <v>High Salary</v>
      </c>
      <c r="J11" s="5" t="s">
        <v>188</v>
      </c>
      <c r="L11" t="s">
        <v>288</v>
      </c>
      <c r="M11">
        <v>21043.897971489318</v>
      </c>
    </row>
    <row r="12" spans="1:13" x14ac:dyDescent="0.3">
      <c r="A12" s="7" t="s">
        <v>19</v>
      </c>
      <c r="B12" s="5" t="s">
        <v>163</v>
      </c>
      <c r="C12" s="5" t="s">
        <v>166</v>
      </c>
      <c r="D12" s="5" t="s">
        <v>174</v>
      </c>
      <c r="E12" s="3">
        <v>64247</v>
      </c>
      <c r="F12" s="4">
        <v>42078</v>
      </c>
      <c r="G12" s="20">
        <v>1</v>
      </c>
      <c r="H12" s="5" t="s">
        <v>179</v>
      </c>
      <c r="I12" s="5" t="str">
        <f t="shared" si="0"/>
        <v>Normal Salary</v>
      </c>
      <c r="J12" s="5" t="s">
        <v>189</v>
      </c>
      <c r="L12" t="s">
        <v>289</v>
      </c>
      <c r="M12">
        <v>442845641.83445215</v>
      </c>
    </row>
    <row r="13" spans="1:13" x14ac:dyDescent="0.3">
      <c r="A13" s="7" t="s">
        <v>20</v>
      </c>
      <c r="B13" s="5" t="s">
        <v>163</v>
      </c>
      <c r="C13" s="5" t="s">
        <v>169</v>
      </c>
      <c r="D13" s="5" t="s">
        <v>172</v>
      </c>
      <c r="E13" s="3">
        <v>91180</v>
      </c>
      <c r="F13" s="4">
        <v>42085</v>
      </c>
      <c r="G13" s="20">
        <v>5</v>
      </c>
      <c r="H13" s="5" t="s">
        <v>178</v>
      </c>
      <c r="I13" s="5" t="str">
        <f t="shared" si="0"/>
        <v>High Salary</v>
      </c>
      <c r="J13" s="5" t="s">
        <v>190</v>
      </c>
      <c r="L13" t="s">
        <v>290</v>
      </c>
      <c r="M13">
        <v>-1.1873336341646472</v>
      </c>
    </row>
    <row r="14" spans="1:13" x14ac:dyDescent="0.3">
      <c r="A14" s="7" t="s">
        <v>21</v>
      </c>
      <c r="B14" s="5" t="s">
        <v>165</v>
      </c>
      <c r="C14" s="5" t="s">
        <v>168</v>
      </c>
      <c r="D14" s="5" t="s">
        <v>176</v>
      </c>
      <c r="E14" s="3">
        <v>96418</v>
      </c>
      <c r="F14" s="4">
        <v>42092</v>
      </c>
      <c r="G14" s="20">
        <v>5</v>
      </c>
      <c r="H14" s="5" t="s">
        <v>178</v>
      </c>
      <c r="I14" s="5" t="str">
        <f t="shared" si="0"/>
        <v>High Salary</v>
      </c>
      <c r="J14" s="5" t="s">
        <v>181</v>
      </c>
      <c r="L14" t="s">
        <v>291</v>
      </c>
      <c r="M14">
        <v>-0.12171480296181837</v>
      </c>
    </row>
    <row r="15" spans="1:13" x14ac:dyDescent="0.3">
      <c r="A15" s="7" t="s">
        <v>22</v>
      </c>
      <c r="B15" s="5" t="s">
        <v>163</v>
      </c>
      <c r="C15" s="5" t="s">
        <v>170</v>
      </c>
      <c r="D15" s="5" t="s">
        <v>173</v>
      </c>
      <c r="E15" s="3">
        <v>62158</v>
      </c>
      <c r="F15" s="4">
        <v>42099</v>
      </c>
      <c r="G15" s="20">
        <v>4</v>
      </c>
      <c r="H15" s="5" t="s">
        <v>176</v>
      </c>
      <c r="I15" s="5" t="str">
        <f t="shared" si="0"/>
        <v>Normal Salary</v>
      </c>
      <c r="J15" s="5" t="s">
        <v>191</v>
      </c>
      <c r="L15" t="s">
        <v>292</v>
      </c>
      <c r="M15">
        <v>69341</v>
      </c>
    </row>
    <row r="16" spans="1:13" x14ac:dyDescent="0.3">
      <c r="A16" s="7" t="s">
        <v>23</v>
      </c>
      <c r="B16" s="5" t="s">
        <v>162</v>
      </c>
      <c r="C16" s="5" t="s">
        <v>167</v>
      </c>
      <c r="D16" s="5" t="s">
        <v>176</v>
      </c>
      <c r="E16" s="3">
        <v>59894</v>
      </c>
      <c r="F16" s="4">
        <v>42106</v>
      </c>
      <c r="G16" s="20">
        <v>2</v>
      </c>
      <c r="H16" s="5" t="s">
        <v>178</v>
      </c>
      <c r="I16" s="5" t="str">
        <f t="shared" si="0"/>
        <v>Normal Salary</v>
      </c>
      <c r="J16" s="5" t="s">
        <v>192</v>
      </c>
      <c r="L16" t="s">
        <v>293</v>
      </c>
      <c r="M16">
        <v>30280</v>
      </c>
    </row>
    <row r="17" spans="1:13" x14ac:dyDescent="0.3">
      <c r="A17" s="7" t="s">
        <v>24</v>
      </c>
      <c r="B17" s="5" t="s">
        <v>176</v>
      </c>
      <c r="C17" s="5" t="s">
        <v>169</v>
      </c>
      <c r="D17" s="5" t="s">
        <v>173</v>
      </c>
      <c r="E17" s="3">
        <v>92443</v>
      </c>
      <c r="F17" s="4">
        <v>42113</v>
      </c>
      <c r="G17" s="20">
        <v>3</v>
      </c>
      <c r="H17" s="5" t="s">
        <v>177</v>
      </c>
      <c r="I17" s="5" t="str">
        <f t="shared" si="0"/>
        <v>High Salary</v>
      </c>
      <c r="J17" s="5" t="s">
        <v>193</v>
      </c>
      <c r="L17" t="s">
        <v>294</v>
      </c>
      <c r="M17">
        <v>99621</v>
      </c>
    </row>
    <row r="18" spans="1:13" x14ac:dyDescent="0.3">
      <c r="A18" s="7" t="s">
        <v>25</v>
      </c>
      <c r="B18" s="5" t="s">
        <v>165</v>
      </c>
      <c r="C18" s="5" t="s">
        <v>170</v>
      </c>
      <c r="D18" s="5" t="s">
        <v>171</v>
      </c>
      <c r="E18" s="3">
        <v>90271</v>
      </c>
      <c r="F18" s="4">
        <v>42120</v>
      </c>
      <c r="G18" s="20">
        <v>3</v>
      </c>
      <c r="H18" s="5" t="s">
        <v>176</v>
      </c>
      <c r="I18" s="5" t="str">
        <f t="shared" si="0"/>
        <v>High Salary</v>
      </c>
      <c r="J18" s="5" t="s">
        <v>194</v>
      </c>
      <c r="L18" t="s">
        <v>295</v>
      </c>
      <c r="M18">
        <v>9942140</v>
      </c>
    </row>
    <row r="19" spans="1:13" x14ac:dyDescent="0.3">
      <c r="A19" s="7" t="s">
        <v>26</v>
      </c>
      <c r="B19" s="5" t="s">
        <v>162</v>
      </c>
      <c r="C19" s="5" t="s">
        <v>166</v>
      </c>
      <c r="D19" s="5" t="s">
        <v>175</v>
      </c>
      <c r="E19" s="3">
        <v>41341</v>
      </c>
      <c r="F19" s="4">
        <v>42127</v>
      </c>
      <c r="G19" s="20">
        <v>1</v>
      </c>
      <c r="H19" s="5" t="s">
        <v>177</v>
      </c>
      <c r="I19" s="5" t="str">
        <f t="shared" si="0"/>
        <v>low salary</v>
      </c>
      <c r="J19" s="5" t="s">
        <v>195</v>
      </c>
      <c r="L19" t="s">
        <v>296</v>
      </c>
      <c r="M19">
        <v>150</v>
      </c>
    </row>
    <row r="20" spans="1:13" ht="15" thickBot="1" x14ac:dyDescent="0.35">
      <c r="A20" s="7" t="s">
        <v>27</v>
      </c>
      <c r="B20" s="5" t="s">
        <v>160</v>
      </c>
      <c r="C20" s="5" t="s">
        <v>166</v>
      </c>
      <c r="D20" s="5" t="s">
        <v>174</v>
      </c>
      <c r="E20" s="3">
        <v>73602</v>
      </c>
      <c r="F20" s="4">
        <v>42134</v>
      </c>
      <c r="G20" s="20">
        <v>3</v>
      </c>
      <c r="H20" s="5" t="s">
        <v>176</v>
      </c>
      <c r="I20" s="5" t="str">
        <f t="shared" si="0"/>
        <v>Normal Salary</v>
      </c>
      <c r="J20" s="5" t="s">
        <v>196</v>
      </c>
      <c r="L20" s="17" t="s">
        <v>300</v>
      </c>
      <c r="M20" s="17">
        <v>3395.23934110147</v>
      </c>
    </row>
    <row r="21" spans="1:13" x14ac:dyDescent="0.3">
      <c r="A21" s="7" t="s">
        <v>28</v>
      </c>
      <c r="B21" s="5" t="s">
        <v>159</v>
      </c>
      <c r="C21" s="5" t="s">
        <v>170</v>
      </c>
      <c r="D21" s="5" t="s">
        <v>173</v>
      </c>
      <c r="E21" s="3">
        <v>67531</v>
      </c>
      <c r="F21" s="4">
        <v>42141</v>
      </c>
      <c r="G21" s="20">
        <v>5</v>
      </c>
      <c r="H21" s="5" t="s">
        <v>179</v>
      </c>
      <c r="I21" s="5" t="str">
        <f t="shared" si="0"/>
        <v>Normal Salary</v>
      </c>
      <c r="J21" s="5" t="s">
        <v>197</v>
      </c>
    </row>
    <row r="22" spans="1:13" x14ac:dyDescent="0.3">
      <c r="A22" s="7" t="s">
        <v>29</v>
      </c>
      <c r="B22" s="5" t="s">
        <v>162</v>
      </c>
      <c r="C22" s="5" t="s">
        <v>167</v>
      </c>
      <c r="D22" s="5" t="s">
        <v>172</v>
      </c>
      <c r="E22" s="3">
        <v>66281</v>
      </c>
      <c r="F22" s="4">
        <v>42148</v>
      </c>
      <c r="G22" s="20">
        <v>2</v>
      </c>
      <c r="H22" s="5" t="s">
        <v>177</v>
      </c>
      <c r="I22" s="5" t="str">
        <f t="shared" si="0"/>
        <v>Normal Salary</v>
      </c>
      <c r="J22" s="5" t="s">
        <v>198</v>
      </c>
    </row>
    <row r="23" spans="1:13" x14ac:dyDescent="0.3">
      <c r="A23" s="7" t="s">
        <v>30</v>
      </c>
      <c r="B23" s="5" t="s">
        <v>162</v>
      </c>
      <c r="C23" s="5" t="s">
        <v>167</v>
      </c>
      <c r="D23" s="5" t="s">
        <v>176</v>
      </c>
      <c r="E23" s="3">
        <v>98922</v>
      </c>
      <c r="F23" s="4">
        <v>42155</v>
      </c>
      <c r="G23" s="20">
        <v>4</v>
      </c>
      <c r="H23" s="5" t="s">
        <v>176</v>
      </c>
      <c r="I23" s="5" t="str">
        <f t="shared" si="0"/>
        <v>High Salary</v>
      </c>
      <c r="J23" s="5" t="s">
        <v>199</v>
      </c>
    </row>
    <row r="24" spans="1:13" x14ac:dyDescent="0.3">
      <c r="A24" s="7" t="s">
        <v>31</v>
      </c>
      <c r="B24" s="5" t="s">
        <v>159</v>
      </c>
      <c r="C24" s="5" t="s">
        <v>166</v>
      </c>
      <c r="D24" s="5" t="s">
        <v>173</v>
      </c>
      <c r="E24" s="3">
        <v>38333</v>
      </c>
      <c r="F24" s="4">
        <v>42162</v>
      </c>
      <c r="G24" s="20">
        <v>5</v>
      </c>
      <c r="H24" s="5" t="s">
        <v>176</v>
      </c>
      <c r="I24" s="5" t="str">
        <f t="shared" si="0"/>
        <v>low salary</v>
      </c>
      <c r="J24" s="5" t="s">
        <v>200</v>
      </c>
    </row>
    <row r="25" spans="1:13" x14ac:dyDescent="0.3">
      <c r="A25" s="7" t="s">
        <v>32</v>
      </c>
      <c r="B25" s="5" t="s">
        <v>160</v>
      </c>
      <c r="C25" s="5" t="s">
        <v>170</v>
      </c>
      <c r="D25" s="5" t="s">
        <v>174</v>
      </c>
      <c r="E25" s="3">
        <v>36515</v>
      </c>
      <c r="F25" s="4">
        <v>42169</v>
      </c>
      <c r="G25" s="20">
        <v>3</v>
      </c>
      <c r="H25" s="5" t="s">
        <v>178</v>
      </c>
      <c r="I25" s="5" t="str">
        <f t="shared" si="0"/>
        <v>low salary</v>
      </c>
      <c r="J25" s="5" t="s">
        <v>201</v>
      </c>
    </row>
    <row r="26" spans="1:13" x14ac:dyDescent="0.3">
      <c r="A26" s="7" t="s">
        <v>33</v>
      </c>
      <c r="B26" s="5" t="s">
        <v>163</v>
      </c>
      <c r="C26" s="5" t="s">
        <v>166</v>
      </c>
      <c r="D26" s="5" t="s">
        <v>176</v>
      </c>
      <c r="E26" s="3">
        <v>91005</v>
      </c>
      <c r="F26" s="4">
        <v>42176</v>
      </c>
      <c r="G26" s="20">
        <v>1</v>
      </c>
      <c r="H26" s="5" t="s">
        <v>177</v>
      </c>
      <c r="I26" s="5" t="str">
        <f t="shared" si="0"/>
        <v>High Salary</v>
      </c>
      <c r="J26" s="5" t="s">
        <v>202</v>
      </c>
    </row>
    <row r="27" spans="1:13" x14ac:dyDescent="0.3">
      <c r="A27" s="7" t="s">
        <v>34</v>
      </c>
      <c r="B27" s="5" t="s">
        <v>164</v>
      </c>
      <c r="C27" s="5" t="s">
        <v>170</v>
      </c>
      <c r="D27" s="5" t="s">
        <v>176</v>
      </c>
      <c r="E27" s="3">
        <v>52272</v>
      </c>
      <c r="F27" s="4">
        <v>42183</v>
      </c>
      <c r="G27" s="20">
        <v>3</v>
      </c>
      <c r="H27" s="5" t="s">
        <v>176</v>
      </c>
      <c r="I27" s="5" t="str">
        <f t="shared" si="0"/>
        <v>Normal Salary</v>
      </c>
      <c r="J27" s="5" t="s">
        <v>203</v>
      </c>
    </row>
    <row r="28" spans="1:13" x14ac:dyDescent="0.3">
      <c r="A28" s="7" t="s">
        <v>35</v>
      </c>
      <c r="B28" s="5" t="s">
        <v>159</v>
      </c>
      <c r="C28" s="5" t="s">
        <v>168</v>
      </c>
      <c r="D28" s="5" t="s">
        <v>171</v>
      </c>
      <c r="E28" s="3">
        <v>76518</v>
      </c>
      <c r="F28" s="4">
        <v>42190</v>
      </c>
      <c r="G28" s="20">
        <v>2</v>
      </c>
      <c r="H28" s="5" t="s">
        <v>179</v>
      </c>
      <c r="I28" s="5" t="str">
        <f t="shared" si="0"/>
        <v>High Salary</v>
      </c>
      <c r="J28" s="5" t="s">
        <v>204</v>
      </c>
    </row>
    <row r="29" spans="1:13" x14ac:dyDescent="0.3">
      <c r="A29" s="7" t="s">
        <v>36</v>
      </c>
      <c r="B29" s="5" t="s">
        <v>160</v>
      </c>
      <c r="C29" s="5" t="s">
        <v>169</v>
      </c>
      <c r="D29" s="5" t="s">
        <v>174</v>
      </c>
      <c r="E29" s="3">
        <v>41448</v>
      </c>
      <c r="F29" s="4">
        <v>42197</v>
      </c>
      <c r="G29" s="20">
        <v>3</v>
      </c>
      <c r="H29" s="5" t="s">
        <v>177</v>
      </c>
      <c r="I29" s="5" t="str">
        <f t="shared" si="0"/>
        <v>low salary</v>
      </c>
      <c r="J29" s="5" t="s">
        <v>205</v>
      </c>
    </row>
    <row r="30" spans="1:13" x14ac:dyDescent="0.3">
      <c r="A30" s="7" t="s">
        <v>37</v>
      </c>
      <c r="B30" s="5" t="s">
        <v>161</v>
      </c>
      <c r="C30" s="5" t="s">
        <v>167</v>
      </c>
      <c r="D30" s="5" t="s">
        <v>174</v>
      </c>
      <c r="E30" s="3">
        <v>49282</v>
      </c>
      <c r="F30" s="4">
        <v>42204</v>
      </c>
      <c r="G30" s="20">
        <v>2</v>
      </c>
      <c r="H30" s="5" t="s">
        <v>179</v>
      </c>
      <c r="I30" s="5" t="str">
        <f t="shared" si="0"/>
        <v>low salary</v>
      </c>
      <c r="J30" s="5" t="s">
        <v>206</v>
      </c>
    </row>
    <row r="31" spans="1:13" x14ac:dyDescent="0.3">
      <c r="A31" s="7" t="s">
        <v>38</v>
      </c>
      <c r="B31" s="5" t="s">
        <v>165</v>
      </c>
      <c r="C31" s="5" t="s">
        <v>170</v>
      </c>
      <c r="D31" s="5" t="s">
        <v>174</v>
      </c>
      <c r="E31" s="3">
        <v>92959</v>
      </c>
      <c r="F31" s="4">
        <v>42211</v>
      </c>
      <c r="G31" s="20">
        <v>5</v>
      </c>
      <c r="H31" s="5" t="s">
        <v>176</v>
      </c>
      <c r="I31" s="5" t="str">
        <f t="shared" si="0"/>
        <v>High Salary</v>
      </c>
      <c r="J31" s="5" t="s">
        <v>207</v>
      </c>
    </row>
    <row r="32" spans="1:13" x14ac:dyDescent="0.3">
      <c r="A32" s="7" t="s">
        <v>39</v>
      </c>
      <c r="B32" s="5" t="s">
        <v>176</v>
      </c>
      <c r="C32" s="5" t="s">
        <v>170</v>
      </c>
      <c r="D32" s="5" t="s">
        <v>176</v>
      </c>
      <c r="E32" s="3">
        <v>92259</v>
      </c>
      <c r="F32" s="4">
        <v>42196</v>
      </c>
      <c r="G32" s="20">
        <v>1</v>
      </c>
      <c r="H32" s="5" t="s">
        <v>176</v>
      </c>
      <c r="I32" s="5" t="str">
        <f t="shared" si="0"/>
        <v>High Salary</v>
      </c>
      <c r="J32" s="5" t="s">
        <v>208</v>
      </c>
    </row>
    <row r="33" spans="1:10" x14ac:dyDescent="0.3">
      <c r="A33" s="7" t="s">
        <v>40</v>
      </c>
      <c r="B33" s="5" t="s">
        <v>159</v>
      </c>
      <c r="C33" s="5" t="s">
        <v>167</v>
      </c>
      <c r="D33" s="5" t="s">
        <v>171</v>
      </c>
      <c r="E33" s="3">
        <v>92299</v>
      </c>
      <c r="F33" s="4">
        <v>42225</v>
      </c>
      <c r="G33" s="20">
        <v>3</v>
      </c>
      <c r="H33" s="5" t="s">
        <v>178</v>
      </c>
      <c r="I33" s="5" t="str">
        <f t="shared" si="0"/>
        <v>High Salary</v>
      </c>
      <c r="J33" s="5" t="s">
        <v>209</v>
      </c>
    </row>
    <row r="34" spans="1:10" x14ac:dyDescent="0.3">
      <c r="A34" s="7" t="s">
        <v>41</v>
      </c>
      <c r="B34" s="5" t="s">
        <v>163</v>
      </c>
      <c r="C34" s="5" t="s">
        <v>167</v>
      </c>
      <c r="D34" s="5" t="s">
        <v>176</v>
      </c>
      <c r="E34" s="3">
        <v>95586</v>
      </c>
      <c r="F34" s="4">
        <v>42232</v>
      </c>
      <c r="G34" s="20">
        <v>3</v>
      </c>
      <c r="H34" s="5" t="s">
        <v>177</v>
      </c>
      <c r="I34" s="5" t="str">
        <f t="shared" si="0"/>
        <v>High Salary</v>
      </c>
      <c r="J34" s="5" t="s">
        <v>210</v>
      </c>
    </row>
    <row r="35" spans="1:10" x14ac:dyDescent="0.3">
      <c r="A35" s="7" t="s">
        <v>42</v>
      </c>
      <c r="B35" s="5" t="s">
        <v>164</v>
      </c>
      <c r="C35" s="5" t="s">
        <v>170</v>
      </c>
      <c r="D35" s="5" t="s">
        <v>172</v>
      </c>
      <c r="E35" s="3">
        <v>95367</v>
      </c>
      <c r="F35" s="4">
        <v>42239</v>
      </c>
      <c r="G35" s="20">
        <v>3</v>
      </c>
      <c r="H35" s="5" t="s">
        <v>178</v>
      </c>
      <c r="I35" s="5" t="str">
        <f t="shared" si="0"/>
        <v>High Salary</v>
      </c>
      <c r="J35" s="5" t="s">
        <v>211</v>
      </c>
    </row>
    <row r="36" spans="1:10" x14ac:dyDescent="0.3">
      <c r="A36" s="7" t="s">
        <v>43</v>
      </c>
      <c r="B36" s="5" t="s">
        <v>161</v>
      </c>
      <c r="C36" s="5" t="s">
        <v>168</v>
      </c>
      <c r="D36" s="5" t="s">
        <v>175</v>
      </c>
      <c r="E36" s="3">
        <v>79549</v>
      </c>
      <c r="F36" s="4">
        <v>42246</v>
      </c>
      <c r="G36" s="20">
        <v>3</v>
      </c>
      <c r="H36" s="5" t="s">
        <v>176</v>
      </c>
      <c r="I36" s="5" t="str">
        <f t="shared" si="0"/>
        <v>High Salary</v>
      </c>
      <c r="J36" s="5" t="s">
        <v>212</v>
      </c>
    </row>
    <row r="37" spans="1:10" x14ac:dyDescent="0.3">
      <c r="A37" s="7" t="s">
        <v>44</v>
      </c>
      <c r="B37" s="5" t="s">
        <v>160</v>
      </c>
      <c r="C37" s="5" t="s">
        <v>170</v>
      </c>
      <c r="D37" s="5" t="s">
        <v>174</v>
      </c>
      <c r="E37" s="3">
        <v>54463</v>
      </c>
      <c r="F37" s="4">
        <v>42253</v>
      </c>
      <c r="G37" s="20">
        <v>4</v>
      </c>
      <c r="H37" s="5" t="s">
        <v>178</v>
      </c>
      <c r="I37" s="5" t="str">
        <f t="shared" si="0"/>
        <v>Normal Salary</v>
      </c>
      <c r="J37" s="5" t="s">
        <v>180</v>
      </c>
    </row>
    <row r="38" spans="1:10" x14ac:dyDescent="0.3">
      <c r="A38" s="7" t="s">
        <v>45</v>
      </c>
      <c r="B38" s="5" t="s">
        <v>160</v>
      </c>
      <c r="C38" s="5" t="s">
        <v>169</v>
      </c>
      <c r="D38" s="5" t="s">
        <v>172</v>
      </c>
      <c r="E38" s="3">
        <v>89781</v>
      </c>
      <c r="F38" s="4">
        <v>42260</v>
      </c>
      <c r="G38" s="20">
        <v>3</v>
      </c>
      <c r="H38" s="5" t="s">
        <v>179</v>
      </c>
      <c r="I38" s="5" t="str">
        <f t="shared" si="0"/>
        <v>High Salary</v>
      </c>
      <c r="J38" s="5" t="s">
        <v>213</v>
      </c>
    </row>
    <row r="39" spans="1:10" x14ac:dyDescent="0.3">
      <c r="A39" s="7" t="s">
        <v>46</v>
      </c>
      <c r="B39" s="5" t="s">
        <v>160</v>
      </c>
      <c r="C39" s="5" t="s">
        <v>167</v>
      </c>
      <c r="D39" s="5" t="s">
        <v>176</v>
      </c>
      <c r="E39" s="3">
        <v>64796</v>
      </c>
      <c r="F39" s="4">
        <v>42267</v>
      </c>
      <c r="G39" s="20">
        <v>3</v>
      </c>
      <c r="H39" s="5" t="s">
        <v>177</v>
      </c>
      <c r="I39" s="5" t="str">
        <f t="shared" si="0"/>
        <v>Normal Salary</v>
      </c>
      <c r="J39" s="5" t="s">
        <v>214</v>
      </c>
    </row>
    <row r="40" spans="1:10" x14ac:dyDescent="0.3">
      <c r="A40" s="7" t="s">
        <v>47</v>
      </c>
      <c r="B40" s="5" t="s">
        <v>161</v>
      </c>
      <c r="C40" s="5" t="s">
        <v>170</v>
      </c>
      <c r="D40" s="5" t="s">
        <v>174</v>
      </c>
      <c r="E40" s="3">
        <v>52093</v>
      </c>
      <c r="F40" s="4">
        <v>42274</v>
      </c>
      <c r="G40" s="20">
        <v>5</v>
      </c>
      <c r="H40" s="5" t="s">
        <v>176</v>
      </c>
      <c r="I40" s="5" t="str">
        <f t="shared" si="0"/>
        <v>Normal Salary</v>
      </c>
      <c r="J40" s="5" t="s">
        <v>215</v>
      </c>
    </row>
    <row r="41" spans="1:10" x14ac:dyDescent="0.3">
      <c r="A41" s="7" t="s">
        <v>48</v>
      </c>
      <c r="B41" s="5" t="s">
        <v>164</v>
      </c>
      <c r="C41" s="5" t="s">
        <v>167</v>
      </c>
      <c r="D41" s="5" t="s">
        <v>174</v>
      </c>
      <c r="E41" s="3">
        <v>48224</v>
      </c>
      <c r="F41" s="4">
        <v>42281</v>
      </c>
      <c r="G41" s="20">
        <v>3</v>
      </c>
      <c r="H41" s="5" t="s">
        <v>176</v>
      </c>
      <c r="I41" s="5" t="str">
        <f t="shared" si="0"/>
        <v>low salary</v>
      </c>
      <c r="J41" s="5" t="s">
        <v>216</v>
      </c>
    </row>
    <row r="42" spans="1:10" x14ac:dyDescent="0.3">
      <c r="A42" s="7" t="s">
        <v>49</v>
      </c>
      <c r="B42" s="5" t="s">
        <v>165</v>
      </c>
      <c r="C42" s="5" t="s">
        <v>166</v>
      </c>
      <c r="D42" s="5" t="s">
        <v>174</v>
      </c>
      <c r="E42" s="3">
        <v>66281</v>
      </c>
      <c r="F42" s="4">
        <v>42196</v>
      </c>
      <c r="G42" s="20">
        <v>4</v>
      </c>
      <c r="H42" s="5" t="s">
        <v>179</v>
      </c>
      <c r="I42" s="5" t="str">
        <f t="shared" si="0"/>
        <v>Normal Salary</v>
      </c>
      <c r="J42" s="5" t="s">
        <v>217</v>
      </c>
    </row>
    <row r="43" spans="1:10" x14ac:dyDescent="0.3">
      <c r="A43" s="7" t="s">
        <v>50</v>
      </c>
      <c r="B43" s="5" t="s">
        <v>160</v>
      </c>
      <c r="C43" s="5" t="s">
        <v>169</v>
      </c>
      <c r="D43" s="5" t="s">
        <v>171</v>
      </c>
      <c r="E43" s="3">
        <v>33956</v>
      </c>
      <c r="F43" s="4">
        <v>42295</v>
      </c>
      <c r="G43" s="20">
        <v>3</v>
      </c>
      <c r="H43" s="5" t="s">
        <v>176</v>
      </c>
      <c r="I43" s="5" t="str">
        <f t="shared" si="0"/>
        <v>low salary</v>
      </c>
      <c r="J43" s="5" t="s">
        <v>218</v>
      </c>
    </row>
    <row r="44" spans="1:10" x14ac:dyDescent="0.3">
      <c r="A44" s="7" t="s">
        <v>51</v>
      </c>
      <c r="B44" s="5" t="s">
        <v>165</v>
      </c>
      <c r="C44" s="5" t="s">
        <v>170</v>
      </c>
      <c r="D44" s="5" t="s">
        <v>175</v>
      </c>
      <c r="E44" s="3">
        <v>64913</v>
      </c>
      <c r="F44" s="4">
        <v>42302</v>
      </c>
      <c r="G44" s="20">
        <v>1</v>
      </c>
      <c r="H44" s="5" t="s">
        <v>179</v>
      </c>
      <c r="I44" s="5" t="str">
        <f t="shared" si="0"/>
        <v>Normal Salary</v>
      </c>
      <c r="J44" s="5" t="s">
        <v>219</v>
      </c>
    </row>
    <row r="45" spans="1:10" x14ac:dyDescent="0.3">
      <c r="A45" s="7" t="s">
        <v>52</v>
      </c>
      <c r="B45" s="5" t="s">
        <v>160</v>
      </c>
      <c r="C45" s="5" t="s">
        <v>170</v>
      </c>
      <c r="D45" s="5" t="s">
        <v>175</v>
      </c>
      <c r="E45" s="3">
        <v>35326</v>
      </c>
      <c r="F45" s="4">
        <v>42309</v>
      </c>
      <c r="G45" s="20">
        <v>3</v>
      </c>
      <c r="H45" s="5" t="s">
        <v>179</v>
      </c>
      <c r="I45" s="5" t="str">
        <f t="shared" si="0"/>
        <v>low salary</v>
      </c>
      <c r="J45" s="5" t="s">
        <v>220</v>
      </c>
    </row>
    <row r="46" spans="1:10" x14ac:dyDescent="0.3">
      <c r="A46" s="7" t="s">
        <v>53</v>
      </c>
      <c r="B46" s="5" t="s">
        <v>164</v>
      </c>
      <c r="C46" s="5" t="s">
        <v>166</v>
      </c>
      <c r="D46" s="5" t="s">
        <v>176</v>
      </c>
      <c r="E46" s="3">
        <v>81610</v>
      </c>
      <c r="F46" s="4">
        <v>42316</v>
      </c>
      <c r="G46" s="20">
        <v>1</v>
      </c>
      <c r="H46" s="5" t="s">
        <v>176</v>
      </c>
      <c r="I46" s="5" t="str">
        <f t="shared" si="0"/>
        <v>High Salary</v>
      </c>
      <c r="J46" s="5" t="s">
        <v>221</v>
      </c>
    </row>
    <row r="47" spans="1:10" x14ac:dyDescent="0.3">
      <c r="A47" s="7" t="s">
        <v>54</v>
      </c>
      <c r="B47" s="5" t="s">
        <v>176</v>
      </c>
      <c r="C47" s="5" t="s">
        <v>167</v>
      </c>
      <c r="D47" s="5" t="s">
        <v>176</v>
      </c>
      <c r="E47" s="3">
        <v>58962</v>
      </c>
      <c r="F47" s="4">
        <v>42323</v>
      </c>
      <c r="G47" s="20">
        <v>3</v>
      </c>
      <c r="H47" s="5" t="s">
        <v>177</v>
      </c>
      <c r="I47" s="5" t="str">
        <f t="shared" si="0"/>
        <v>Normal Salary</v>
      </c>
      <c r="J47" s="5" t="s">
        <v>181</v>
      </c>
    </row>
    <row r="48" spans="1:10" x14ac:dyDescent="0.3">
      <c r="A48" s="7" t="s">
        <v>55</v>
      </c>
      <c r="B48" s="5" t="s">
        <v>164</v>
      </c>
      <c r="C48" s="5" t="s">
        <v>169</v>
      </c>
      <c r="D48" s="5" t="s">
        <v>171</v>
      </c>
      <c r="E48" s="3">
        <v>92701</v>
      </c>
      <c r="F48" s="4">
        <v>42330</v>
      </c>
      <c r="G48" s="20">
        <v>3</v>
      </c>
      <c r="H48" s="5" t="s">
        <v>177</v>
      </c>
      <c r="I48" s="5" t="str">
        <f t="shared" si="0"/>
        <v>High Salary</v>
      </c>
      <c r="J48" s="5" t="s">
        <v>222</v>
      </c>
    </row>
    <row r="49" spans="1:10" x14ac:dyDescent="0.3">
      <c r="A49" s="7" t="s">
        <v>56</v>
      </c>
      <c r="B49" s="5" t="s">
        <v>164</v>
      </c>
      <c r="C49" s="5" t="s">
        <v>167</v>
      </c>
      <c r="D49" s="5" t="s">
        <v>173</v>
      </c>
      <c r="E49" s="3">
        <v>58245</v>
      </c>
      <c r="F49" s="4">
        <v>42337</v>
      </c>
      <c r="G49" s="20">
        <v>4</v>
      </c>
      <c r="H49" s="5" t="s">
        <v>176</v>
      </c>
      <c r="I49" s="5" t="str">
        <f t="shared" si="0"/>
        <v>Normal Salary</v>
      </c>
      <c r="J49" s="5" t="s">
        <v>223</v>
      </c>
    </row>
    <row r="50" spans="1:10" x14ac:dyDescent="0.3">
      <c r="A50" s="7" t="s">
        <v>57</v>
      </c>
      <c r="B50" s="5" t="s">
        <v>161</v>
      </c>
      <c r="C50" s="5" t="s">
        <v>166</v>
      </c>
      <c r="D50" s="5" t="s">
        <v>176</v>
      </c>
      <c r="E50" s="3">
        <v>66513</v>
      </c>
      <c r="F50" s="4">
        <v>42344</v>
      </c>
      <c r="G50" s="20">
        <v>2</v>
      </c>
      <c r="H50" s="5" t="s">
        <v>177</v>
      </c>
      <c r="I50" s="5" t="str">
        <f t="shared" si="0"/>
        <v>Normal Salary</v>
      </c>
      <c r="J50" s="5" t="s">
        <v>185</v>
      </c>
    </row>
    <row r="51" spans="1:10" x14ac:dyDescent="0.3">
      <c r="A51" s="7" t="s">
        <v>58</v>
      </c>
      <c r="B51" s="5" t="s">
        <v>159</v>
      </c>
      <c r="C51" s="5" t="s">
        <v>167</v>
      </c>
      <c r="D51" s="5" t="s">
        <v>171</v>
      </c>
      <c r="E51" s="3">
        <v>78720</v>
      </c>
      <c r="F51" s="4">
        <v>42351</v>
      </c>
      <c r="G51" s="20">
        <v>5</v>
      </c>
      <c r="H51" s="5" t="s">
        <v>179</v>
      </c>
      <c r="I51" s="5" t="str">
        <f t="shared" si="0"/>
        <v>High Salary</v>
      </c>
      <c r="J51" s="5" t="s">
        <v>217</v>
      </c>
    </row>
    <row r="52" spans="1:10" x14ac:dyDescent="0.3">
      <c r="A52" s="7" t="s">
        <v>59</v>
      </c>
      <c r="B52" s="5" t="s">
        <v>164</v>
      </c>
      <c r="C52" s="5" t="s">
        <v>170</v>
      </c>
      <c r="D52" s="5" t="s">
        <v>176</v>
      </c>
      <c r="E52" s="3">
        <v>30686</v>
      </c>
      <c r="F52" s="4">
        <v>42196</v>
      </c>
      <c r="G52" s="20">
        <v>2</v>
      </c>
      <c r="H52" s="5" t="s">
        <v>179</v>
      </c>
      <c r="I52" s="5" t="str">
        <f t="shared" si="0"/>
        <v>low salary</v>
      </c>
      <c r="J52" s="5" t="s">
        <v>224</v>
      </c>
    </row>
    <row r="53" spans="1:10" x14ac:dyDescent="0.3">
      <c r="A53" s="7" t="s">
        <v>60</v>
      </c>
      <c r="B53" s="5" t="s">
        <v>163</v>
      </c>
      <c r="C53" s="5" t="s">
        <v>168</v>
      </c>
      <c r="D53" s="5" t="s">
        <v>173</v>
      </c>
      <c r="E53" s="3">
        <v>39423</v>
      </c>
      <c r="F53" s="4">
        <v>42365</v>
      </c>
      <c r="G53" s="20">
        <v>5</v>
      </c>
      <c r="H53" s="5" t="s">
        <v>176</v>
      </c>
      <c r="I53" s="5" t="str">
        <f t="shared" si="0"/>
        <v>low salary</v>
      </c>
      <c r="J53" s="5" t="s">
        <v>225</v>
      </c>
    </row>
    <row r="54" spans="1:10" x14ac:dyDescent="0.3">
      <c r="A54" s="7" t="s">
        <v>61</v>
      </c>
      <c r="B54" s="5" t="s">
        <v>159</v>
      </c>
      <c r="C54" s="5" t="s">
        <v>170</v>
      </c>
      <c r="D54" s="5" t="s">
        <v>176</v>
      </c>
      <c r="E54" s="3">
        <v>30280</v>
      </c>
      <c r="F54" s="4">
        <v>42372</v>
      </c>
      <c r="G54" s="20">
        <v>1</v>
      </c>
      <c r="H54" s="5" t="s">
        <v>176</v>
      </c>
      <c r="I54" s="5" t="str">
        <f t="shared" si="0"/>
        <v>low salary</v>
      </c>
      <c r="J54" s="5" t="s">
        <v>226</v>
      </c>
    </row>
    <row r="55" spans="1:10" x14ac:dyDescent="0.3">
      <c r="A55" s="7" t="s">
        <v>62</v>
      </c>
      <c r="B55" s="5" t="s">
        <v>159</v>
      </c>
      <c r="C55" s="5" t="s">
        <v>166</v>
      </c>
      <c r="D55" s="5" t="s">
        <v>174</v>
      </c>
      <c r="E55" s="3">
        <v>33352</v>
      </c>
      <c r="F55" s="4">
        <v>42379</v>
      </c>
      <c r="G55" s="20">
        <v>3</v>
      </c>
      <c r="H55" s="5" t="s">
        <v>179</v>
      </c>
      <c r="I55" s="5" t="str">
        <f t="shared" si="0"/>
        <v>low salary</v>
      </c>
      <c r="J55" s="5" t="s">
        <v>198</v>
      </c>
    </row>
    <row r="56" spans="1:10" x14ac:dyDescent="0.3">
      <c r="A56" s="7" t="s">
        <v>63</v>
      </c>
      <c r="B56" s="5" t="s">
        <v>165</v>
      </c>
      <c r="C56" s="5" t="s">
        <v>170</v>
      </c>
      <c r="D56" s="5" t="s">
        <v>174</v>
      </c>
      <c r="E56" s="3">
        <v>75633</v>
      </c>
      <c r="F56" s="4">
        <v>42386</v>
      </c>
      <c r="G56" s="20">
        <v>5</v>
      </c>
      <c r="H56" s="5" t="s">
        <v>177</v>
      </c>
      <c r="I56" s="5" t="str">
        <f t="shared" si="0"/>
        <v>High Salary</v>
      </c>
      <c r="J56" s="5" t="s">
        <v>227</v>
      </c>
    </row>
    <row r="57" spans="1:10" x14ac:dyDescent="0.3">
      <c r="A57" s="7" t="s">
        <v>64</v>
      </c>
      <c r="B57" s="5" t="s">
        <v>164</v>
      </c>
      <c r="C57" s="5" t="s">
        <v>170</v>
      </c>
      <c r="D57" s="5" t="s">
        <v>172</v>
      </c>
      <c r="E57" s="3">
        <v>74815</v>
      </c>
      <c r="F57" s="4">
        <v>42393</v>
      </c>
      <c r="G57" s="20">
        <v>5</v>
      </c>
      <c r="H57" s="5" t="s">
        <v>179</v>
      </c>
      <c r="I57" s="5" t="str">
        <f t="shared" si="0"/>
        <v>Normal Salary</v>
      </c>
      <c r="J57" s="5" t="s">
        <v>228</v>
      </c>
    </row>
    <row r="58" spans="1:10" x14ac:dyDescent="0.3">
      <c r="A58" s="7" t="s">
        <v>65</v>
      </c>
      <c r="B58" s="5" t="s">
        <v>161</v>
      </c>
      <c r="C58" s="5" t="s">
        <v>168</v>
      </c>
      <c r="D58" s="5" t="s">
        <v>175</v>
      </c>
      <c r="E58" s="3">
        <v>60011</v>
      </c>
      <c r="F58" s="4">
        <v>42400</v>
      </c>
      <c r="G58" s="20">
        <v>1</v>
      </c>
      <c r="H58" s="5" t="s">
        <v>178</v>
      </c>
      <c r="I58" s="5" t="str">
        <f t="shared" si="0"/>
        <v>Normal Salary</v>
      </c>
      <c r="J58" s="5" t="s">
        <v>229</v>
      </c>
    </row>
    <row r="59" spans="1:10" x14ac:dyDescent="0.3">
      <c r="A59" s="7" t="s">
        <v>66</v>
      </c>
      <c r="B59" s="5" t="s">
        <v>159</v>
      </c>
      <c r="C59" s="5" t="s">
        <v>170</v>
      </c>
      <c r="D59" s="5" t="s">
        <v>173</v>
      </c>
      <c r="E59" s="3">
        <v>96949</v>
      </c>
      <c r="F59" s="4">
        <v>42407</v>
      </c>
      <c r="G59" s="20">
        <v>3</v>
      </c>
      <c r="H59" s="5" t="s">
        <v>176</v>
      </c>
      <c r="I59" s="5" t="str">
        <f t="shared" si="0"/>
        <v>High Salary</v>
      </c>
      <c r="J59" s="5" t="s">
        <v>205</v>
      </c>
    </row>
    <row r="60" spans="1:10" x14ac:dyDescent="0.3">
      <c r="A60" s="7" t="s">
        <v>67</v>
      </c>
      <c r="B60" s="5" t="s">
        <v>163</v>
      </c>
      <c r="C60" s="5" t="s">
        <v>170</v>
      </c>
      <c r="D60" s="5" t="s">
        <v>176</v>
      </c>
      <c r="E60" s="3">
        <v>84924</v>
      </c>
      <c r="F60" s="4">
        <v>42414</v>
      </c>
      <c r="G60" s="20">
        <v>5</v>
      </c>
      <c r="H60" s="5" t="s">
        <v>178</v>
      </c>
      <c r="I60" s="5" t="str">
        <f t="shared" si="0"/>
        <v>High Salary</v>
      </c>
      <c r="J60" s="5" t="s">
        <v>230</v>
      </c>
    </row>
    <row r="61" spans="1:10" x14ac:dyDescent="0.3">
      <c r="A61" s="7" t="s">
        <v>68</v>
      </c>
      <c r="B61" s="5" t="s">
        <v>163</v>
      </c>
      <c r="C61" s="5" t="s">
        <v>166</v>
      </c>
      <c r="D61" s="5" t="s">
        <v>172</v>
      </c>
      <c r="E61" s="3">
        <v>82033</v>
      </c>
      <c r="F61" s="4">
        <v>42421</v>
      </c>
      <c r="G61" s="20">
        <v>1</v>
      </c>
      <c r="H61" s="5" t="s">
        <v>176</v>
      </c>
      <c r="I61" s="5" t="str">
        <f t="shared" si="0"/>
        <v>High Salary</v>
      </c>
      <c r="J61" s="5" t="s">
        <v>221</v>
      </c>
    </row>
    <row r="62" spans="1:10" x14ac:dyDescent="0.3">
      <c r="A62" s="7" t="s">
        <v>69</v>
      </c>
      <c r="B62" s="5" t="s">
        <v>176</v>
      </c>
      <c r="C62" s="5" t="s">
        <v>170</v>
      </c>
      <c r="D62" s="5" t="s">
        <v>171</v>
      </c>
      <c r="E62" s="3">
        <v>66281</v>
      </c>
      <c r="F62" s="4">
        <v>42196</v>
      </c>
      <c r="G62" s="20">
        <v>5</v>
      </c>
      <c r="H62" s="5" t="s">
        <v>176</v>
      </c>
      <c r="I62" s="5" t="str">
        <f t="shared" si="0"/>
        <v>Normal Salary</v>
      </c>
      <c r="J62" s="5" t="s">
        <v>231</v>
      </c>
    </row>
    <row r="63" spans="1:10" x14ac:dyDescent="0.3">
      <c r="A63" s="7" t="s">
        <v>70</v>
      </c>
      <c r="B63" s="5" t="s">
        <v>159</v>
      </c>
      <c r="C63" s="5" t="s">
        <v>170</v>
      </c>
      <c r="D63" s="5" t="s">
        <v>175</v>
      </c>
      <c r="E63" s="3">
        <v>31499</v>
      </c>
      <c r="F63" s="4">
        <v>42435</v>
      </c>
      <c r="G63" s="20">
        <v>2</v>
      </c>
      <c r="H63" s="5" t="s">
        <v>176</v>
      </c>
      <c r="I63" s="5" t="str">
        <f t="shared" si="0"/>
        <v>low salary</v>
      </c>
      <c r="J63" s="5" t="s">
        <v>213</v>
      </c>
    </row>
    <row r="64" spans="1:10" x14ac:dyDescent="0.3">
      <c r="A64" s="7" t="s">
        <v>71</v>
      </c>
      <c r="B64" s="5" t="s">
        <v>164</v>
      </c>
      <c r="C64" s="5" t="s">
        <v>169</v>
      </c>
      <c r="D64" s="5" t="s">
        <v>174</v>
      </c>
      <c r="E64" s="3">
        <v>97981</v>
      </c>
      <c r="F64" s="4">
        <v>42442</v>
      </c>
      <c r="G64" s="20">
        <v>5</v>
      </c>
      <c r="H64" s="5" t="s">
        <v>179</v>
      </c>
      <c r="I64" s="5" t="str">
        <f t="shared" si="0"/>
        <v>High Salary</v>
      </c>
      <c r="J64" s="5" t="s">
        <v>232</v>
      </c>
    </row>
    <row r="65" spans="1:13" x14ac:dyDescent="0.3">
      <c r="A65" s="7" t="s">
        <v>72</v>
      </c>
      <c r="B65" s="5" t="s">
        <v>159</v>
      </c>
      <c r="C65" s="5" t="s">
        <v>167</v>
      </c>
      <c r="D65" s="5" t="s">
        <v>172</v>
      </c>
      <c r="E65" s="3">
        <v>36541</v>
      </c>
      <c r="F65" s="4">
        <v>42449</v>
      </c>
      <c r="G65" s="20">
        <v>2</v>
      </c>
      <c r="H65" s="5" t="s">
        <v>177</v>
      </c>
      <c r="I65" s="5" t="str">
        <f t="shared" si="0"/>
        <v>low salary</v>
      </c>
      <c r="J65" s="5" t="s">
        <v>233</v>
      </c>
    </row>
    <row r="66" spans="1:13" x14ac:dyDescent="0.3">
      <c r="A66" s="7" t="s">
        <v>73</v>
      </c>
      <c r="B66" s="5" t="s">
        <v>161</v>
      </c>
      <c r="C66" s="5" t="s">
        <v>169</v>
      </c>
      <c r="D66" s="5" t="s">
        <v>173</v>
      </c>
      <c r="E66" s="3">
        <v>84737</v>
      </c>
      <c r="F66" s="4">
        <v>42456</v>
      </c>
      <c r="G66" s="20">
        <v>1</v>
      </c>
      <c r="H66" s="5" t="s">
        <v>178</v>
      </c>
      <c r="I66" s="5" t="str">
        <f t="shared" si="0"/>
        <v>High Salary</v>
      </c>
      <c r="J66" s="5" t="s">
        <v>234</v>
      </c>
    </row>
    <row r="67" spans="1:13" x14ac:dyDescent="0.3">
      <c r="A67" s="7" t="s">
        <v>74</v>
      </c>
      <c r="B67" s="5" t="s">
        <v>163</v>
      </c>
      <c r="C67" s="5" t="s">
        <v>166</v>
      </c>
      <c r="D67" s="5" t="s">
        <v>173</v>
      </c>
      <c r="E67" s="3">
        <v>33468</v>
      </c>
      <c r="F67" s="4">
        <v>42463</v>
      </c>
      <c r="G67" s="20">
        <v>4</v>
      </c>
      <c r="H67" s="5" t="s">
        <v>178</v>
      </c>
      <c r="I67" s="5" t="str">
        <f t="shared" ref="I67:I130" si="1">IF(E67&gt;75000,"High Salary",IF(E67&gt;50000,"Normal Salary","low salary"))</f>
        <v>low salary</v>
      </c>
      <c r="J67" s="5" t="s">
        <v>235</v>
      </c>
    </row>
    <row r="68" spans="1:13" x14ac:dyDescent="0.3">
      <c r="A68" s="7" t="s">
        <v>75</v>
      </c>
      <c r="B68" s="5" t="s">
        <v>163</v>
      </c>
      <c r="C68" s="5" t="s">
        <v>170</v>
      </c>
      <c r="D68" s="5" t="s">
        <v>175</v>
      </c>
      <c r="E68" s="3">
        <v>96365</v>
      </c>
      <c r="F68" s="4">
        <v>42470</v>
      </c>
      <c r="G68" s="20">
        <v>3</v>
      </c>
      <c r="H68" s="5" t="s">
        <v>177</v>
      </c>
      <c r="I68" s="5" t="str">
        <f t="shared" si="1"/>
        <v>High Salary</v>
      </c>
      <c r="J68" s="5" t="s">
        <v>236</v>
      </c>
    </row>
    <row r="69" spans="1:13" x14ac:dyDescent="0.3">
      <c r="A69" s="7" t="s">
        <v>76</v>
      </c>
      <c r="B69" s="5" t="s">
        <v>160</v>
      </c>
      <c r="C69" s="5" t="s">
        <v>168</v>
      </c>
      <c r="D69" s="5" t="s">
        <v>173</v>
      </c>
      <c r="E69" s="3">
        <v>61942</v>
      </c>
      <c r="F69" s="4">
        <v>42477</v>
      </c>
      <c r="G69" s="20">
        <v>3</v>
      </c>
      <c r="H69" s="5" t="s">
        <v>179</v>
      </c>
      <c r="I69" s="5" t="str">
        <f t="shared" si="1"/>
        <v>Normal Salary</v>
      </c>
      <c r="J69" s="5" t="s">
        <v>237</v>
      </c>
    </row>
    <row r="70" spans="1:13" x14ac:dyDescent="0.3">
      <c r="A70" s="7" t="s">
        <v>77</v>
      </c>
      <c r="B70" s="5" t="s">
        <v>163</v>
      </c>
      <c r="C70" s="5" t="s">
        <v>166</v>
      </c>
      <c r="D70" s="5" t="s">
        <v>174</v>
      </c>
      <c r="E70" s="3">
        <v>41467</v>
      </c>
      <c r="F70" s="4">
        <v>42484</v>
      </c>
      <c r="G70" s="20">
        <v>2</v>
      </c>
      <c r="H70" s="5" t="s">
        <v>176</v>
      </c>
      <c r="I70" s="5" t="str">
        <f t="shared" si="1"/>
        <v>low salary</v>
      </c>
      <c r="J70" s="5" t="s">
        <v>199</v>
      </c>
    </row>
    <row r="71" spans="1:13" x14ac:dyDescent="0.3">
      <c r="A71" s="7" t="s">
        <v>78</v>
      </c>
      <c r="B71" s="5" t="s">
        <v>165</v>
      </c>
      <c r="C71" s="5" t="s">
        <v>166</v>
      </c>
      <c r="D71" s="5" t="s">
        <v>173</v>
      </c>
      <c r="E71" s="3">
        <v>77096</v>
      </c>
      <c r="F71" s="4">
        <v>42491</v>
      </c>
      <c r="G71" s="20">
        <v>1</v>
      </c>
      <c r="H71" s="5" t="s">
        <v>176</v>
      </c>
      <c r="I71" s="5" t="str">
        <f t="shared" si="1"/>
        <v>High Salary</v>
      </c>
      <c r="J71" s="5" t="s">
        <v>238</v>
      </c>
    </row>
    <row r="72" spans="1:13" x14ac:dyDescent="0.3">
      <c r="A72" s="7" t="s">
        <v>79</v>
      </c>
      <c r="B72" s="5" t="s">
        <v>159</v>
      </c>
      <c r="C72" s="5" t="s">
        <v>168</v>
      </c>
      <c r="D72" s="5" t="s">
        <v>175</v>
      </c>
      <c r="E72" s="3">
        <v>69952</v>
      </c>
      <c r="F72" s="4">
        <v>42498</v>
      </c>
      <c r="G72" s="20">
        <v>5</v>
      </c>
      <c r="H72" s="5" t="s">
        <v>179</v>
      </c>
      <c r="I72" s="5" t="str">
        <f t="shared" si="1"/>
        <v>Normal Salary</v>
      </c>
      <c r="J72" s="5" t="s">
        <v>180</v>
      </c>
    </row>
    <row r="73" spans="1:13" x14ac:dyDescent="0.3">
      <c r="A73" s="7" t="s">
        <v>80</v>
      </c>
      <c r="B73" s="5" t="s">
        <v>159</v>
      </c>
      <c r="C73" s="5" t="s">
        <v>170</v>
      </c>
      <c r="D73" s="5" t="s">
        <v>172</v>
      </c>
      <c r="E73" s="3">
        <v>85065</v>
      </c>
      <c r="F73" s="4">
        <v>42505</v>
      </c>
      <c r="G73" s="20">
        <v>3</v>
      </c>
      <c r="H73" s="5" t="s">
        <v>176</v>
      </c>
      <c r="I73" s="5" t="str">
        <f t="shared" si="1"/>
        <v>High Salary</v>
      </c>
      <c r="J73" s="5" t="s">
        <v>239</v>
      </c>
      <c r="M73" s="1"/>
    </row>
    <row r="74" spans="1:13" x14ac:dyDescent="0.3">
      <c r="A74" s="7" t="s">
        <v>81</v>
      </c>
      <c r="B74" s="5" t="s">
        <v>165</v>
      </c>
      <c r="C74" s="5" t="s">
        <v>170</v>
      </c>
      <c r="D74" s="5" t="s">
        <v>173</v>
      </c>
      <c r="E74" s="3">
        <v>56512</v>
      </c>
      <c r="F74" s="4">
        <v>42512</v>
      </c>
      <c r="G74" s="20">
        <v>3</v>
      </c>
      <c r="H74" s="5" t="s">
        <v>177</v>
      </c>
      <c r="I74" s="5" t="str">
        <f t="shared" si="1"/>
        <v>Normal Salary</v>
      </c>
      <c r="J74" s="5" t="s">
        <v>188</v>
      </c>
    </row>
    <row r="75" spans="1:13" x14ac:dyDescent="0.3">
      <c r="A75" s="7" t="s">
        <v>82</v>
      </c>
      <c r="B75" s="5" t="s">
        <v>161</v>
      </c>
      <c r="C75" s="5" t="s">
        <v>168</v>
      </c>
      <c r="D75" s="5" t="s">
        <v>173</v>
      </c>
      <c r="E75" s="3">
        <v>91101</v>
      </c>
      <c r="F75" s="4">
        <v>42519</v>
      </c>
      <c r="G75" s="20">
        <v>4</v>
      </c>
      <c r="H75" s="5" t="s">
        <v>179</v>
      </c>
      <c r="I75" s="5" t="str">
        <f t="shared" si="1"/>
        <v>High Salary</v>
      </c>
      <c r="J75" s="5" t="s">
        <v>232</v>
      </c>
    </row>
    <row r="76" spans="1:13" x14ac:dyDescent="0.3">
      <c r="A76" s="7" t="s">
        <v>83</v>
      </c>
      <c r="B76" s="5" t="s">
        <v>163</v>
      </c>
      <c r="C76" s="5" t="s">
        <v>170</v>
      </c>
      <c r="D76" s="5" t="s">
        <v>171</v>
      </c>
      <c r="E76" s="3">
        <v>41243</v>
      </c>
      <c r="F76" s="4">
        <v>42526</v>
      </c>
      <c r="G76" s="20">
        <v>3</v>
      </c>
      <c r="H76" s="5" t="s">
        <v>176</v>
      </c>
      <c r="I76" s="5" t="str">
        <f t="shared" si="1"/>
        <v>low salary</v>
      </c>
      <c r="J76" s="5" t="s">
        <v>209</v>
      </c>
    </row>
    <row r="77" spans="1:13" x14ac:dyDescent="0.3">
      <c r="A77" s="7" t="s">
        <v>84</v>
      </c>
      <c r="B77" s="5" t="s">
        <v>176</v>
      </c>
      <c r="C77" s="5" t="s">
        <v>168</v>
      </c>
      <c r="D77" s="5" t="s">
        <v>176</v>
      </c>
      <c r="E77" s="3">
        <v>96142</v>
      </c>
      <c r="F77" s="4">
        <v>42533</v>
      </c>
      <c r="G77" s="20">
        <v>1</v>
      </c>
      <c r="H77" s="5" t="s">
        <v>177</v>
      </c>
      <c r="I77" s="5" t="str">
        <f t="shared" si="1"/>
        <v>High Salary</v>
      </c>
      <c r="J77" s="5" t="s">
        <v>240</v>
      </c>
    </row>
    <row r="78" spans="1:13" x14ac:dyDescent="0.3">
      <c r="A78" s="7" t="s">
        <v>85</v>
      </c>
      <c r="B78" s="5" t="s">
        <v>159</v>
      </c>
      <c r="C78" s="5" t="s">
        <v>169</v>
      </c>
      <c r="D78" s="5" t="s">
        <v>173</v>
      </c>
      <c r="E78" s="3">
        <v>94301</v>
      </c>
      <c r="F78" s="4">
        <v>42540</v>
      </c>
      <c r="G78" s="20">
        <v>1</v>
      </c>
      <c r="H78" s="5" t="s">
        <v>178</v>
      </c>
      <c r="I78" s="5" t="str">
        <f t="shared" si="1"/>
        <v>High Salary</v>
      </c>
      <c r="J78" s="5" t="s">
        <v>221</v>
      </c>
    </row>
    <row r="79" spans="1:13" x14ac:dyDescent="0.3">
      <c r="A79" s="7" t="s">
        <v>86</v>
      </c>
      <c r="B79" s="5" t="s">
        <v>162</v>
      </c>
      <c r="C79" s="5" t="s">
        <v>170</v>
      </c>
      <c r="D79" s="5" t="s">
        <v>174</v>
      </c>
      <c r="E79" s="3">
        <v>69166</v>
      </c>
      <c r="F79" s="4">
        <v>42547</v>
      </c>
      <c r="G79" s="20">
        <v>1</v>
      </c>
      <c r="H79" s="5" t="s">
        <v>179</v>
      </c>
      <c r="I79" s="5" t="str">
        <f t="shared" si="1"/>
        <v>Normal Salary</v>
      </c>
      <c r="J79" s="5" t="s">
        <v>241</v>
      </c>
    </row>
    <row r="80" spans="1:13" x14ac:dyDescent="0.3">
      <c r="A80" s="7" t="s">
        <v>87</v>
      </c>
      <c r="B80" s="5" t="s">
        <v>163</v>
      </c>
      <c r="C80" s="5" t="s">
        <v>170</v>
      </c>
      <c r="D80" s="5" t="s">
        <v>174</v>
      </c>
      <c r="E80" s="3">
        <v>78245</v>
      </c>
      <c r="F80" s="4">
        <v>42554</v>
      </c>
      <c r="G80" s="20">
        <v>2</v>
      </c>
      <c r="H80" s="5" t="s">
        <v>176</v>
      </c>
      <c r="I80" s="5" t="str">
        <f t="shared" si="1"/>
        <v>High Salary</v>
      </c>
      <c r="J80" s="5" t="s">
        <v>242</v>
      </c>
    </row>
    <row r="81" spans="1:10" x14ac:dyDescent="0.3">
      <c r="A81" s="7" t="s">
        <v>88</v>
      </c>
      <c r="B81" s="5" t="s">
        <v>164</v>
      </c>
      <c r="C81" s="5" t="s">
        <v>168</v>
      </c>
      <c r="D81" s="5" t="s">
        <v>172</v>
      </c>
      <c r="E81" s="3">
        <v>66079</v>
      </c>
      <c r="F81" s="4">
        <v>42561</v>
      </c>
      <c r="G81" s="20">
        <v>2</v>
      </c>
      <c r="H81" s="5" t="s">
        <v>177</v>
      </c>
      <c r="I81" s="5" t="str">
        <f t="shared" si="1"/>
        <v>Normal Salary</v>
      </c>
      <c r="J81" s="5" t="s">
        <v>243</v>
      </c>
    </row>
    <row r="82" spans="1:10" x14ac:dyDescent="0.3">
      <c r="A82" s="7" t="s">
        <v>89</v>
      </c>
      <c r="B82" s="5" t="s">
        <v>159</v>
      </c>
      <c r="C82" s="5" t="s">
        <v>170</v>
      </c>
      <c r="D82" s="5" t="s">
        <v>173</v>
      </c>
      <c r="E82" s="3">
        <v>66281</v>
      </c>
      <c r="F82" s="4">
        <v>42196</v>
      </c>
      <c r="G82" s="20">
        <v>3</v>
      </c>
      <c r="H82" s="5" t="s">
        <v>176</v>
      </c>
      <c r="I82" s="5" t="str">
        <f t="shared" si="1"/>
        <v>Normal Salary</v>
      </c>
      <c r="J82" s="5" t="s">
        <v>206</v>
      </c>
    </row>
    <row r="83" spans="1:10" x14ac:dyDescent="0.3">
      <c r="A83" s="7" t="s">
        <v>90</v>
      </c>
      <c r="B83" s="5" t="s">
        <v>162</v>
      </c>
      <c r="C83" s="5" t="s">
        <v>168</v>
      </c>
      <c r="D83" s="5" t="s">
        <v>172</v>
      </c>
      <c r="E83" s="3">
        <v>95621</v>
      </c>
      <c r="F83" s="4">
        <v>42575</v>
      </c>
      <c r="G83" s="20">
        <v>3</v>
      </c>
      <c r="H83" s="5" t="s">
        <v>179</v>
      </c>
      <c r="I83" s="5" t="str">
        <f t="shared" si="1"/>
        <v>High Salary</v>
      </c>
      <c r="J83" s="5" t="s">
        <v>244</v>
      </c>
    </row>
    <row r="84" spans="1:10" x14ac:dyDescent="0.3">
      <c r="A84" s="7" t="s">
        <v>91</v>
      </c>
      <c r="B84" s="5" t="s">
        <v>159</v>
      </c>
      <c r="C84" s="5" t="s">
        <v>169</v>
      </c>
      <c r="D84" s="5" t="s">
        <v>174</v>
      </c>
      <c r="E84" s="3">
        <v>42262</v>
      </c>
      <c r="F84" s="4">
        <v>42582</v>
      </c>
      <c r="G84" s="20">
        <v>1</v>
      </c>
      <c r="H84" s="5" t="s">
        <v>176</v>
      </c>
      <c r="I84" s="5" t="str">
        <f t="shared" si="1"/>
        <v>low salary</v>
      </c>
      <c r="J84" s="5" t="s">
        <v>245</v>
      </c>
    </row>
    <row r="85" spans="1:10" x14ac:dyDescent="0.3">
      <c r="A85" s="7" t="s">
        <v>92</v>
      </c>
      <c r="B85" s="5" t="s">
        <v>163</v>
      </c>
      <c r="C85" s="5" t="s">
        <v>168</v>
      </c>
      <c r="D85" s="5" t="s">
        <v>173</v>
      </c>
      <c r="E85" s="3">
        <v>99621</v>
      </c>
      <c r="F85" s="4">
        <v>42589</v>
      </c>
      <c r="G85" s="20">
        <v>3</v>
      </c>
      <c r="H85" s="5" t="s">
        <v>177</v>
      </c>
      <c r="I85" s="5" t="str">
        <f t="shared" si="1"/>
        <v>High Salary</v>
      </c>
      <c r="J85" s="5" t="s">
        <v>246</v>
      </c>
    </row>
    <row r="86" spans="1:10" x14ac:dyDescent="0.3">
      <c r="A86" s="7" t="s">
        <v>93</v>
      </c>
      <c r="B86" s="5" t="s">
        <v>161</v>
      </c>
      <c r="C86" s="5" t="s">
        <v>170</v>
      </c>
      <c r="D86" s="5" t="s">
        <v>173</v>
      </c>
      <c r="E86" s="3">
        <v>44682</v>
      </c>
      <c r="F86" s="4">
        <v>42596</v>
      </c>
      <c r="G86" s="20">
        <v>4</v>
      </c>
      <c r="H86" s="5" t="s">
        <v>179</v>
      </c>
      <c r="I86" s="5" t="str">
        <f t="shared" si="1"/>
        <v>low salary</v>
      </c>
      <c r="J86" s="5" t="s">
        <v>218</v>
      </c>
    </row>
    <row r="87" spans="1:10" x14ac:dyDescent="0.3">
      <c r="A87" s="7" t="s">
        <v>94</v>
      </c>
      <c r="B87" s="5" t="s">
        <v>164</v>
      </c>
      <c r="C87" s="5" t="s">
        <v>166</v>
      </c>
      <c r="D87" s="5" t="s">
        <v>176</v>
      </c>
      <c r="E87" s="3">
        <v>35163</v>
      </c>
      <c r="F87" s="4">
        <v>42603</v>
      </c>
      <c r="G87" s="20">
        <v>5</v>
      </c>
      <c r="H87" s="5" t="s">
        <v>177</v>
      </c>
      <c r="I87" s="5" t="str">
        <f t="shared" si="1"/>
        <v>low salary</v>
      </c>
      <c r="J87" s="5" t="s">
        <v>247</v>
      </c>
    </row>
    <row r="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c:dyDescent="0.3">
      <c r="A89" s="7" t="s">
        <v>96</v>
      </c>
      <c r="B89" s="5" t="s">
        <v>163</v>
      </c>
      <c r="C89" s="5" t="s">
        <v>167</v>
      </c>
      <c r="D89" s="5" t="s">
        <v>171</v>
      </c>
      <c r="E89" s="3">
        <v>55303</v>
      </c>
      <c r="F89" s="4">
        <v>42617</v>
      </c>
      <c r="G89" s="20">
        <v>4</v>
      </c>
      <c r="H89" s="5" t="s">
        <v>178</v>
      </c>
      <c r="I89" s="5" t="str">
        <f t="shared" si="1"/>
        <v>Normal Salary</v>
      </c>
      <c r="J89" s="5" t="s">
        <v>201</v>
      </c>
    </row>
    <row r="90" spans="1:10" x14ac:dyDescent="0.3">
      <c r="A90" s="7" t="s">
        <v>97</v>
      </c>
      <c r="B90" s="5" t="s">
        <v>164</v>
      </c>
      <c r="C90" s="5" t="s">
        <v>169</v>
      </c>
      <c r="D90" s="5" t="s">
        <v>176</v>
      </c>
      <c r="E90" s="3">
        <v>63434</v>
      </c>
      <c r="F90" s="4">
        <v>42624</v>
      </c>
      <c r="G90" s="20">
        <v>3</v>
      </c>
      <c r="H90" s="5" t="s">
        <v>176</v>
      </c>
      <c r="I90" s="5" t="str">
        <f t="shared" si="1"/>
        <v>Normal Salary</v>
      </c>
      <c r="J90" s="5" t="s">
        <v>249</v>
      </c>
    </row>
    <row r="91" spans="1:10" x14ac:dyDescent="0.3">
      <c r="A91" s="7" t="s">
        <v>98</v>
      </c>
      <c r="B91" s="5" t="s">
        <v>162</v>
      </c>
      <c r="C91" s="5" t="s">
        <v>170</v>
      </c>
      <c r="D91" s="5" t="s">
        <v>175</v>
      </c>
      <c r="E91" s="3">
        <v>38830</v>
      </c>
      <c r="F91" s="4">
        <v>42631</v>
      </c>
      <c r="G91" s="20">
        <v>3</v>
      </c>
      <c r="H91" s="5" t="s">
        <v>177</v>
      </c>
      <c r="I91" s="5" t="str">
        <f t="shared" si="1"/>
        <v>low salary</v>
      </c>
      <c r="J91" s="5" t="s">
        <v>201</v>
      </c>
    </row>
    <row r="92" spans="1:10" x14ac:dyDescent="0.3">
      <c r="A92" s="7" t="s">
        <v>99</v>
      </c>
      <c r="B92" s="5" t="s">
        <v>176</v>
      </c>
      <c r="C92" s="5" t="s">
        <v>170</v>
      </c>
      <c r="D92" s="5" t="s">
        <v>174</v>
      </c>
      <c r="E92" s="3">
        <v>50741</v>
      </c>
      <c r="F92" s="4">
        <v>42638</v>
      </c>
      <c r="G92" s="20">
        <v>3</v>
      </c>
      <c r="H92" s="5" t="s">
        <v>176</v>
      </c>
      <c r="I92" s="5" t="str">
        <f t="shared" si="1"/>
        <v>Normal Salary</v>
      </c>
      <c r="J92" s="5" t="s">
        <v>238</v>
      </c>
    </row>
    <row r="93" spans="1:10" x14ac:dyDescent="0.3">
      <c r="A93" s="7" t="s">
        <v>100</v>
      </c>
      <c r="B93" s="5" t="s">
        <v>160</v>
      </c>
      <c r="C93" s="5" t="s">
        <v>167</v>
      </c>
      <c r="D93" s="5" t="s">
        <v>175</v>
      </c>
      <c r="E93" s="3">
        <v>69420</v>
      </c>
      <c r="F93" s="4">
        <v>42645</v>
      </c>
      <c r="G93" s="20">
        <v>1</v>
      </c>
      <c r="H93" s="5" t="s">
        <v>178</v>
      </c>
      <c r="I93" s="5" t="str">
        <f t="shared" si="1"/>
        <v>Normal Salary</v>
      </c>
      <c r="J93" s="5" t="s">
        <v>223</v>
      </c>
    </row>
    <row r="94" spans="1:10" x14ac:dyDescent="0.3">
      <c r="A94" s="7" t="s">
        <v>101</v>
      </c>
      <c r="B94" s="5" t="s">
        <v>162</v>
      </c>
      <c r="C94" s="5" t="s">
        <v>169</v>
      </c>
      <c r="D94" s="5" t="s">
        <v>176</v>
      </c>
      <c r="E94" s="3">
        <v>80588</v>
      </c>
      <c r="F94" s="4">
        <v>42652</v>
      </c>
      <c r="G94" s="20">
        <v>5</v>
      </c>
      <c r="H94" s="5" t="s">
        <v>178</v>
      </c>
      <c r="I94" s="5" t="str">
        <f t="shared" si="1"/>
        <v>High Salary</v>
      </c>
      <c r="J94" s="5" t="s">
        <v>214</v>
      </c>
    </row>
    <row r="95" spans="1:10" x14ac:dyDescent="0.3">
      <c r="A95" s="7" t="s">
        <v>102</v>
      </c>
      <c r="B95" s="5" t="s">
        <v>160</v>
      </c>
      <c r="C95" s="5" t="s">
        <v>170</v>
      </c>
      <c r="D95" s="5" t="s">
        <v>172</v>
      </c>
      <c r="E95" s="3">
        <v>76238</v>
      </c>
      <c r="F95" s="4">
        <v>42659</v>
      </c>
      <c r="G95" s="20">
        <v>4</v>
      </c>
      <c r="H95" s="5" t="s">
        <v>178</v>
      </c>
      <c r="I95" s="5" t="str">
        <f t="shared" si="1"/>
        <v>High Salary</v>
      </c>
      <c r="J95" s="5" t="s">
        <v>250</v>
      </c>
    </row>
    <row r="96" spans="1:10" x14ac:dyDescent="0.3">
      <c r="A96" s="7" t="s">
        <v>103</v>
      </c>
      <c r="B96" s="5" t="s">
        <v>165</v>
      </c>
      <c r="C96" s="5" t="s">
        <v>169</v>
      </c>
      <c r="D96" s="5" t="s">
        <v>173</v>
      </c>
      <c r="E96" s="3">
        <v>33264</v>
      </c>
      <c r="F96" s="4">
        <v>42666</v>
      </c>
      <c r="G96" s="20">
        <v>3</v>
      </c>
      <c r="H96" s="5" t="s">
        <v>179</v>
      </c>
      <c r="I96" s="5" t="str">
        <f t="shared" si="1"/>
        <v>low salary</v>
      </c>
      <c r="J96" s="5" t="s">
        <v>251</v>
      </c>
    </row>
    <row r="97" spans="1:10" x14ac:dyDescent="0.3">
      <c r="A97" s="7" t="s">
        <v>104</v>
      </c>
      <c r="B97" s="5" t="s">
        <v>160</v>
      </c>
      <c r="C97" s="5" t="s">
        <v>166</v>
      </c>
      <c r="D97" s="5" t="s">
        <v>175</v>
      </c>
      <c r="E97" s="3">
        <v>96101</v>
      </c>
      <c r="F97" s="4">
        <v>42673</v>
      </c>
      <c r="G97" s="20">
        <v>3</v>
      </c>
      <c r="H97" s="5" t="s">
        <v>177</v>
      </c>
      <c r="I97" s="5" t="str">
        <f t="shared" si="1"/>
        <v>High Salary</v>
      </c>
      <c r="J97" s="5" t="s">
        <v>252</v>
      </c>
    </row>
    <row r="98" spans="1:10" x14ac:dyDescent="0.3">
      <c r="A98" s="7" t="s">
        <v>105</v>
      </c>
      <c r="B98" s="5" t="s">
        <v>162</v>
      </c>
      <c r="C98" s="5" t="s">
        <v>166</v>
      </c>
      <c r="D98" s="5" t="s">
        <v>172</v>
      </c>
      <c r="E98" s="3">
        <v>72939</v>
      </c>
      <c r="F98" s="4">
        <v>42680</v>
      </c>
      <c r="G98" s="20">
        <v>3</v>
      </c>
      <c r="H98" s="5" t="s">
        <v>176</v>
      </c>
      <c r="I98" s="5" t="str">
        <f t="shared" si="1"/>
        <v>Normal Salary</v>
      </c>
      <c r="J98" s="5" t="s">
        <v>253</v>
      </c>
    </row>
    <row r="99" spans="1:10" x14ac:dyDescent="0.3">
      <c r="A99" s="7" t="s">
        <v>106</v>
      </c>
      <c r="B99" s="5" t="s">
        <v>163</v>
      </c>
      <c r="C99" s="5" t="s">
        <v>167</v>
      </c>
      <c r="D99" s="5" t="s">
        <v>171</v>
      </c>
      <c r="E99" s="3">
        <v>89333</v>
      </c>
      <c r="F99" s="4">
        <v>42687</v>
      </c>
      <c r="G99" s="20">
        <v>1</v>
      </c>
      <c r="H99" s="5" t="s">
        <v>178</v>
      </c>
      <c r="I99" s="5" t="str">
        <f t="shared" si="1"/>
        <v>High Salary</v>
      </c>
      <c r="J99" s="5" t="s">
        <v>254</v>
      </c>
    </row>
    <row r="100" spans="1:10" x14ac:dyDescent="0.3">
      <c r="A100" s="7" t="s">
        <v>107</v>
      </c>
      <c r="B100" s="5" t="s">
        <v>165</v>
      </c>
      <c r="C100" s="5" t="s">
        <v>169</v>
      </c>
      <c r="D100" s="5" t="s">
        <v>175</v>
      </c>
      <c r="E100" s="3">
        <v>70470</v>
      </c>
      <c r="F100" s="4">
        <v>42694</v>
      </c>
      <c r="G100" s="20">
        <v>3</v>
      </c>
      <c r="H100" s="5" t="s">
        <v>178</v>
      </c>
      <c r="I100" s="5" t="str">
        <f t="shared" si="1"/>
        <v>Normal Salary</v>
      </c>
      <c r="J100" s="5" t="s">
        <v>255</v>
      </c>
    </row>
    <row r="101" spans="1:10" x14ac:dyDescent="0.3">
      <c r="A101" s="7" t="s">
        <v>108</v>
      </c>
      <c r="B101" s="5" t="s">
        <v>159</v>
      </c>
      <c r="C101" s="5" t="s">
        <v>170</v>
      </c>
      <c r="D101" s="5" t="s">
        <v>172</v>
      </c>
      <c r="E101" s="3">
        <v>70096</v>
      </c>
      <c r="F101" s="4">
        <v>42701</v>
      </c>
      <c r="G101" s="20">
        <v>4</v>
      </c>
      <c r="H101" s="5" t="s">
        <v>178</v>
      </c>
      <c r="I101" s="5" t="str">
        <f t="shared" si="1"/>
        <v>Normal Salary</v>
      </c>
      <c r="J101" s="5" t="s">
        <v>256</v>
      </c>
    </row>
    <row r="102" spans="1:10" x14ac:dyDescent="0.3">
      <c r="A102" s="7" t="s">
        <v>109</v>
      </c>
      <c r="B102" s="5" t="s">
        <v>165</v>
      </c>
      <c r="C102" s="5" t="s">
        <v>170</v>
      </c>
      <c r="D102" s="5" t="s">
        <v>176</v>
      </c>
      <c r="E102" s="3">
        <v>66281</v>
      </c>
      <c r="F102" s="4">
        <v>42708</v>
      </c>
      <c r="G102" s="20">
        <v>2</v>
      </c>
      <c r="H102" s="5" t="s">
        <v>177</v>
      </c>
      <c r="I102" s="5" t="str">
        <f t="shared" si="1"/>
        <v>Normal Salary</v>
      </c>
      <c r="J102" s="5" t="s">
        <v>257</v>
      </c>
    </row>
    <row r="103" spans="1:10" x14ac:dyDescent="0.3">
      <c r="A103" s="7" t="s">
        <v>110</v>
      </c>
      <c r="B103" s="5" t="s">
        <v>165</v>
      </c>
      <c r="C103" s="5" t="s">
        <v>169</v>
      </c>
      <c r="D103" s="5" t="s">
        <v>171</v>
      </c>
      <c r="E103" s="3">
        <v>66503</v>
      </c>
      <c r="F103" s="4">
        <v>42715</v>
      </c>
      <c r="G103" s="20">
        <v>3</v>
      </c>
      <c r="H103" s="5" t="s">
        <v>178</v>
      </c>
      <c r="I103" s="5" t="str">
        <f t="shared" si="1"/>
        <v>Normal Salary</v>
      </c>
      <c r="J103" s="5" t="s">
        <v>198</v>
      </c>
    </row>
    <row r="104" spans="1:10" x14ac:dyDescent="0.3">
      <c r="A104" s="7" t="s">
        <v>111</v>
      </c>
      <c r="B104" s="5" t="s">
        <v>160</v>
      </c>
      <c r="C104" s="5" t="s">
        <v>167</v>
      </c>
      <c r="D104" s="5" t="s">
        <v>171</v>
      </c>
      <c r="E104" s="3">
        <v>42096</v>
      </c>
      <c r="F104" s="4">
        <v>42722</v>
      </c>
      <c r="G104" s="20">
        <v>3</v>
      </c>
      <c r="H104" s="5" t="s">
        <v>179</v>
      </c>
      <c r="I104" s="5" t="str">
        <f t="shared" si="1"/>
        <v>low salary</v>
      </c>
      <c r="J104" s="5" t="s">
        <v>258</v>
      </c>
    </row>
    <row r="105" spans="1:10" x14ac:dyDescent="0.3">
      <c r="A105" s="7" t="s">
        <v>112</v>
      </c>
      <c r="B105" s="5" t="s">
        <v>160</v>
      </c>
      <c r="C105" s="5" t="s">
        <v>170</v>
      </c>
      <c r="D105" s="5" t="s">
        <v>176</v>
      </c>
      <c r="E105" s="3">
        <v>79145</v>
      </c>
      <c r="F105" s="4">
        <v>42729</v>
      </c>
      <c r="G105" s="20">
        <v>5</v>
      </c>
      <c r="H105" s="5" t="s">
        <v>177</v>
      </c>
      <c r="I105" s="5" t="str">
        <f t="shared" si="1"/>
        <v>High Salary</v>
      </c>
      <c r="J105" s="5" t="s">
        <v>221</v>
      </c>
    </row>
    <row r="106" spans="1:10" x14ac:dyDescent="0.3">
      <c r="A106" s="7" t="s">
        <v>113</v>
      </c>
      <c r="B106" s="5" t="s">
        <v>162</v>
      </c>
      <c r="C106" s="5" t="s">
        <v>170</v>
      </c>
      <c r="D106" s="5" t="s">
        <v>175</v>
      </c>
      <c r="E106" s="3">
        <v>61556</v>
      </c>
      <c r="F106" s="4">
        <v>42736</v>
      </c>
      <c r="G106" s="20">
        <v>1</v>
      </c>
      <c r="H106" s="5" t="s">
        <v>176</v>
      </c>
      <c r="I106" s="5" t="str">
        <f t="shared" si="1"/>
        <v>Normal Salary</v>
      </c>
      <c r="J106" s="5" t="s">
        <v>257</v>
      </c>
    </row>
    <row r="107" spans="1:10" x14ac:dyDescent="0.3">
      <c r="A107" s="7" t="s">
        <v>114</v>
      </c>
      <c r="B107" s="5" t="s">
        <v>176</v>
      </c>
      <c r="C107" s="5" t="s">
        <v>167</v>
      </c>
      <c r="D107" s="5" t="s">
        <v>174</v>
      </c>
      <c r="E107" s="3">
        <v>87963</v>
      </c>
      <c r="F107" s="4">
        <v>42743</v>
      </c>
      <c r="G107" s="20">
        <v>3</v>
      </c>
      <c r="H107" s="5" t="s">
        <v>177</v>
      </c>
      <c r="I107" s="5" t="str">
        <f t="shared" si="1"/>
        <v>High Salary</v>
      </c>
      <c r="J107" s="5" t="s">
        <v>180</v>
      </c>
    </row>
    <row r="108" spans="1:10" x14ac:dyDescent="0.3">
      <c r="A108" s="7" t="s">
        <v>115</v>
      </c>
      <c r="B108" s="5" t="s">
        <v>159</v>
      </c>
      <c r="C108" s="5" t="s">
        <v>169</v>
      </c>
      <c r="D108" s="5" t="s">
        <v>176</v>
      </c>
      <c r="E108" s="3">
        <v>48325</v>
      </c>
      <c r="F108" s="4">
        <v>42750</v>
      </c>
      <c r="G108" s="20">
        <v>3</v>
      </c>
      <c r="H108" s="5" t="s">
        <v>178</v>
      </c>
      <c r="I108" s="5" t="str">
        <f t="shared" si="1"/>
        <v>low salary</v>
      </c>
      <c r="J108" s="5" t="s">
        <v>259</v>
      </c>
    </row>
    <row r="109" spans="1:10" x14ac:dyDescent="0.3">
      <c r="A109" s="7" t="s">
        <v>116</v>
      </c>
      <c r="B109" s="5" t="s">
        <v>163</v>
      </c>
      <c r="C109" s="5" t="s">
        <v>170</v>
      </c>
      <c r="D109" s="5" t="s">
        <v>175</v>
      </c>
      <c r="E109" s="3">
        <v>86412</v>
      </c>
      <c r="F109" s="4">
        <v>42757</v>
      </c>
      <c r="G109" s="20">
        <v>2</v>
      </c>
      <c r="H109" s="5" t="s">
        <v>179</v>
      </c>
      <c r="I109" s="5" t="str">
        <f t="shared" si="1"/>
        <v>High Salary</v>
      </c>
      <c r="J109" s="5" t="s">
        <v>200</v>
      </c>
    </row>
    <row r="110" spans="1:10" x14ac:dyDescent="0.3">
      <c r="A110" s="7" t="s">
        <v>117</v>
      </c>
      <c r="B110" s="5" t="s">
        <v>163</v>
      </c>
      <c r="C110" s="5" t="s">
        <v>167</v>
      </c>
      <c r="D110" s="5" t="s">
        <v>176</v>
      </c>
      <c r="E110" s="3">
        <v>66761</v>
      </c>
      <c r="F110" s="4">
        <v>42764</v>
      </c>
      <c r="G110" s="20">
        <v>1</v>
      </c>
      <c r="H110" s="5" t="s">
        <v>176</v>
      </c>
      <c r="I110" s="5" t="str">
        <f t="shared" si="1"/>
        <v>Normal Salary</v>
      </c>
      <c r="J110" s="5" t="s">
        <v>260</v>
      </c>
    </row>
    <row r="111" spans="1:10" x14ac:dyDescent="0.3">
      <c r="A111" s="7" t="s">
        <v>118</v>
      </c>
      <c r="B111" s="5" t="s">
        <v>162</v>
      </c>
      <c r="C111" s="5" t="s">
        <v>170</v>
      </c>
      <c r="D111" s="5" t="s">
        <v>173</v>
      </c>
      <c r="E111" s="3">
        <v>88850</v>
      </c>
      <c r="F111" s="4">
        <v>42771</v>
      </c>
      <c r="G111" s="20">
        <v>1</v>
      </c>
      <c r="H111" s="5" t="s">
        <v>179</v>
      </c>
      <c r="I111" s="5" t="str">
        <f t="shared" si="1"/>
        <v>High Salary</v>
      </c>
      <c r="J111" s="5" t="s">
        <v>261</v>
      </c>
    </row>
    <row r="112" spans="1:10" x14ac:dyDescent="0.3">
      <c r="A112" s="7" t="s">
        <v>119</v>
      </c>
      <c r="B112" s="5" t="s">
        <v>164</v>
      </c>
      <c r="C112" s="5" t="s">
        <v>168</v>
      </c>
      <c r="D112" s="5" t="s">
        <v>173</v>
      </c>
      <c r="E112" s="3">
        <v>31293</v>
      </c>
      <c r="F112" s="4">
        <v>42196</v>
      </c>
      <c r="G112" s="20">
        <v>2</v>
      </c>
      <c r="H112" s="5" t="s">
        <v>179</v>
      </c>
      <c r="I112" s="5" t="str">
        <f t="shared" si="1"/>
        <v>low salary</v>
      </c>
      <c r="J112" s="5" t="s">
        <v>262</v>
      </c>
    </row>
    <row r="113" spans="1:10" x14ac:dyDescent="0.3">
      <c r="A113" s="7" t="s">
        <v>120</v>
      </c>
      <c r="B113" s="5" t="s">
        <v>164</v>
      </c>
      <c r="C113" s="5" t="s">
        <v>169</v>
      </c>
      <c r="D113" s="5" t="s">
        <v>172</v>
      </c>
      <c r="E113" s="3">
        <v>34306</v>
      </c>
      <c r="F113" s="4">
        <v>42785</v>
      </c>
      <c r="G113" s="20">
        <v>5</v>
      </c>
      <c r="H113" s="5" t="s">
        <v>179</v>
      </c>
      <c r="I113" s="5" t="str">
        <f t="shared" si="1"/>
        <v>low salary</v>
      </c>
      <c r="J113" s="5" t="s">
        <v>237</v>
      </c>
    </row>
    <row r="114" spans="1:10" x14ac:dyDescent="0.3">
      <c r="A114" s="7" t="s">
        <v>121</v>
      </c>
      <c r="B114" s="5" t="s">
        <v>159</v>
      </c>
      <c r="C114" s="5" t="s">
        <v>166</v>
      </c>
      <c r="D114" s="5" t="s">
        <v>173</v>
      </c>
      <c r="E114" s="3">
        <v>78330</v>
      </c>
      <c r="F114" s="4">
        <v>42792</v>
      </c>
      <c r="G114" s="20">
        <v>3</v>
      </c>
      <c r="H114" s="5" t="s">
        <v>177</v>
      </c>
      <c r="I114" s="5" t="str">
        <f t="shared" si="1"/>
        <v>High Salary</v>
      </c>
      <c r="J114" s="5" t="s">
        <v>256</v>
      </c>
    </row>
    <row r="115" spans="1:10" x14ac:dyDescent="0.3">
      <c r="A115" s="7" t="s">
        <v>122</v>
      </c>
      <c r="B115" s="5" t="s">
        <v>160</v>
      </c>
      <c r="C115" s="5" t="s">
        <v>169</v>
      </c>
      <c r="D115" s="5" t="s">
        <v>172</v>
      </c>
      <c r="E115" s="3">
        <v>47653</v>
      </c>
      <c r="F115" s="4">
        <v>42799</v>
      </c>
      <c r="G115" s="20">
        <v>1</v>
      </c>
      <c r="H115" s="5" t="s">
        <v>178</v>
      </c>
      <c r="I115" s="5" t="str">
        <f t="shared" si="1"/>
        <v>low salary</v>
      </c>
      <c r="J115" s="5" t="s">
        <v>263</v>
      </c>
    </row>
    <row r="116" spans="1:10" x14ac:dyDescent="0.3">
      <c r="A116" s="7" t="s">
        <v>123</v>
      </c>
      <c r="B116" s="5" t="s">
        <v>159</v>
      </c>
      <c r="C116" s="5" t="s">
        <v>170</v>
      </c>
      <c r="D116" s="5" t="s">
        <v>174</v>
      </c>
      <c r="E116" s="3">
        <v>44627</v>
      </c>
      <c r="F116" s="4">
        <v>42806</v>
      </c>
      <c r="G116" s="20">
        <v>4</v>
      </c>
      <c r="H116" s="5" t="s">
        <v>176</v>
      </c>
      <c r="I116" s="5" t="str">
        <f t="shared" si="1"/>
        <v>low salary</v>
      </c>
      <c r="J116" s="5" t="s">
        <v>233</v>
      </c>
    </row>
    <row r="117" spans="1:10" x14ac:dyDescent="0.3">
      <c r="A117" s="7" t="s">
        <v>124</v>
      </c>
      <c r="B117" s="5" t="s">
        <v>165</v>
      </c>
      <c r="C117" s="5" t="s">
        <v>167</v>
      </c>
      <c r="D117" s="5" t="s">
        <v>171</v>
      </c>
      <c r="E117" s="3">
        <v>92343</v>
      </c>
      <c r="F117" s="4">
        <v>42813</v>
      </c>
      <c r="G117" s="20">
        <v>4</v>
      </c>
      <c r="H117" s="5" t="s">
        <v>179</v>
      </c>
      <c r="I117" s="5" t="str">
        <f t="shared" si="1"/>
        <v>High Salary</v>
      </c>
      <c r="J117" s="5" t="s">
        <v>201</v>
      </c>
    </row>
    <row r="118" spans="1:10" x14ac:dyDescent="0.3">
      <c r="A118" s="7" t="s">
        <v>125</v>
      </c>
      <c r="B118" s="5" t="s">
        <v>165</v>
      </c>
      <c r="C118" s="5" t="s">
        <v>170</v>
      </c>
      <c r="D118" s="5" t="s">
        <v>175</v>
      </c>
      <c r="E118" s="3">
        <v>38837</v>
      </c>
      <c r="F118" s="4">
        <v>42820</v>
      </c>
      <c r="G118" s="20">
        <v>5</v>
      </c>
      <c r="H118" s="5" t="s">
        <v>179</v>
      </c>
      <c r="I118" s="5" t="str">
        <f t="shared" si="1"/>
        <v>low salary</v>
      </c>
      <c r="J118" s="5" t="s">
        <v>237</v>
      </c>
    </row>
    <row r="119" spans="1:10" x14ac:dyDescent="0.3">
      <c r="A119" s="7" t="s">
        <v>126</v>
      </c>
      <c r="B119" s="5" t="s">
        <v>165</v>
      </c>
      <c r="C119" s="5" t="s">
        <v>170</v>
      </c>
      <c r="D119" s="5" t="s">
        <v>176</v>
      </c>
      <c r="E119" s="3">
        <v>73483</v>
      </c>
      <c r="F119" s="4">
        <v>42827</v>
      </c>
      <c r="G119" s="20">
        <v>1</v>
      </c>
      <c r="H119" s="5" t="s">
        <v>176</v>
      </c>
      <c r="I119" s="5" t="str">
        <f t="shared" si="1"/>
        <v>Normal Salary</v>
      </c>
      <c r="J119" s="5" t="s">
        <v>264</v>
      </c>
    </row>
    <row r="120" spans="1:10" x14ac:dyDescent="0.3">
      <c r="A120" s="7" t="s">
        <v>127</v>
      </c>
      <c r="B120" s="5" t="s">
        <v>164</v>
      </c>
      <c r="C120" s="5" t="s">
        <v>168</v>
      </c>
      <c r="D120" s="5" t="s">
        <v>173</v>
      </c>
      <c r="E120" s="3">
        <v>95032</v>
      </c>
      <c r="F120" s="4">
        <v>42834</v>
      </c>
      <c r="G120" s="20">
        <v>3</v>
      </c>
      <c r="H120" s="5" t="s">
        <v>176</v>
      </c>
      <c r="I120" s="5" t="str">
        <f t="shared" si="1"/>
        <v>High Salary</v>
      </c>
      <c r="J120" s="5" t="s">
        <v>265</v>
      </c>
    </row>
    <row r="121" spans="1:10" x14ac:dyDescent="0.3">
      <c r="A121" s="7" t="s">
        <v>128</v>
      </c>
      <c r="B121" s="5" t="s">
        <v>159</v>
      </c>
      <c r="C121" s="5" t="s">
        <v>168</v>
      </c>
      <c r="D121" s="5" t="s">
        <v>175</v>
      </c>
      <c r="E121" s="3">
        <v>44358</v>
      </c>
      <c r="F121" s="4">
        <v>42841</v>
      </c>
      <c r="G121" s="20">
        <v>3</v>
      </c>
      <c r="H121" s="5" t="s">
        <v>179</v>
      </c>
      <c r="I121" s="5" t="str">
        <f t="shared" si="1"/>
        <v>low salary</v>
      </c>
      <c r="J121" s="5" t="s">
        <v>198</v>
      </c>
    </row>
    <row r="122" spans="1:10" x14ac:dyDescent="0.3">
      <c r="A122" s="7" t="s">
        <v>129</v>
      </c>
      <c r="B122" s="5" t="s">
        <v>176</v>
      </c>
      <c r="C122" s="5" t="s">
        <v>169</v>
      </c>
      <c r="D122" s="5" t="s">
        <v>172</v>
      </c>
      <c r="E122" s="3">
        <v>66281</v>
      </c>
      <c r="F122" s="4">
        <v>42196</v>
      </c>
      <c r="G122" s="20">
        <v>5</v>
      </c>
      <c r="H122" s="5" t="s">
        <v>176</v>
      </c>
      <c r="I122" s="5" t="str">
        <f t="shared" si="1"/>
        <v>Normal Salary</v>
      </c>
      <c r="J122" s="5" t="s">
        <v>266</v>
      </c>
    </row>
    <row r="123" spans="1:10" x14ac:dyDescent="0.3">
      <c r="A123" s="7" t="s">
        <v>130</v>
      </c>
      <c r="B123" s="5" t="s">
        <v>164</v>
      </c>
      <c r="C123" s="5" t="s">
        <v>168</v>
      </c>
      <c r="D123" s="5" t="s">
        <v>172</v>
      </c>
      <c r="E123" s="3">
        <v>45676</v>
      </c>
      <c r="F123" s="4">
        <v>42855</v>
      </c>
      <c r="G123" s="20">
        <v>2</v>
      </c>
      <c r="H123" s="5" t="s">
        <v>176</v>
      </c>
      <c r="I123" s="5" t="str">
        <f t="shared" si="1"/>
        <v>low salary</v>
      </c>
      <c r="J123" s="5" t="s">
        <v>267</v>
      </c>
    </row>
    <row r="124" spans="1:10" x14ac:dyDescent="0.3">
      <c r="A124" s="7" t="s">
        <v>131</v>
      </c>
      <c r="B124" s="5" t="s">
        <v>165</v>
      </c>
      <c r="C124" s="5" t="s">
        <v>168</v>
      </c>
      <c r="D124" s="5" t="s">
        <v>171</v>
      </c>
      <c r="E124" s="3">
        <v>52036</v>
      </c>
      <c r="F124" s="4">
        <v>42862</v>
      </c>
      <c r="G124" s="20">
        <v>3</v>
      </c>
      <c r="H124" s="5" t="s">
        <v>178</v>
      </c>
      <c r="I124" s="5" t="str">
        <f t="shared" si="1"/>
        <v>Normal Salary</v>
      </c>
      <c r="J124" s="5" t="s">
        <v>268</v>
      </c>
    </row>
    <row r="125" spans="1:10" x14ac:dyDescent="0.3">
      <c r="A125" s="7" t="s">
        <v>132</v>
      </c>
      <c r="B125" s="5" t="s">
        <v>162</v>
      </c>
      <c r="C125" s="5" t="s">
        <v>170</v>
      </c>
      <c r="D125" s="5" t="s">
        <v>171</v>
      </c>
      <c r="E125" s="3">
        <v>30357</v>
      </c>
      <c r="F125" s="4">
        <v>42869</v>
      </c>
      <c r="G125" s="20">
        <v>5</v>
      </c>
      <c r="H125" s="5" t="s">
        <v>178</v>
      </c>
      <c r="I125" s="5" t="str">
        <f t="shared" si="1"/>
        <v>low salary</v>
      </c>
      <c r="J125" s="5" t="s">
        <v>246</v>
      </c>
    </row>
    <row r="126" spans="1:10" x14ac:dyDescent="0.3">
      <c r="A126" s="7" t="s">
        <v>133</v>
      </c>
      <c r="B126" s="5" t="s">
        <v>161</v>
      </c>
      <c r="C126" s="5" t="s">
        <v>169</v>
      </c>
      <c r="D126" s="5" t="s">
        <v>176</v>
      </c>
      <c r="E126" s="3">
        <v>60034</v>
      </c>
      <c r="F126" s="4">
        <v>42876</v>
      </c>
      <c r="G126" s="20">
        <v>1</v>
      </c>
      <c r="H126" s="5" t="s">
        <v>179</v>
      </c>
      <c r="I126" s="5" t="str">
        <f t="shared" si="1"/>
        <v>Normal Salary</v>
      </c>
      <c r="J126" s="5" t="s">
        <v>269</v>
      </c>
    </row>
    <row r="127" spans="1:10" x14ac:dyDescent="0.3">
      <c r="A127" s="7" t="s">
        <v>134</v>
      </c>
      <c r="B127" s="5" t="s">
        <v>161</v>
      </c>
      <c r="C127" s="5" t="s">
        <v>166</v>
      </c>
      <c r="D127" s="5" t="s">
        <v>176</v>
      </c>
      <c r="E127" s="3">
        <v>90019</v>
      </c>
      <c r="F127" s="4">
        <v>42883</v>
      </c>
      <c r="G127" s="20">
        <v>5</v>
      </c>
      <c r="H127" s="5" t="s">
        <v>176</v>
      </c>
      <c r="I127" s="5" t="str">
        <f t="shared" si="1"/>
        <v>High Salary</v>
      </c>
      <c r="J127" s="5" t="s">
        <v>270</v>
      </c>
    </row>
    <row r="128" spans="1:10" x14ac:dyDescent="0.3">
      <c r="A128" s="7" t="s">
        <v>135</v>
      </c>
      <c r="B128" s="5" t="s">
        <v>165</v>
      </c>
      <c r="C128" s="5" t="s">
        <v>170</v>
      </c>
      <c r="D128" s="5" t="s">
        <v>171</v>
      </c>
      <c r="E128" s="3">
        <v>71494</v>
      </c>
      <c r="F128" s="4">
        <v>42890</v>
      </c>
      <c r="G128" s="20">
        <v>3</v>
      </c>
      <c r="H128" s="5" t="s">
        <v>178</v>
      </c>
      <c r="I128" s="5" t="str">
        <f t="shared" si="1"/>
        <v>Normal Salary</v>
      </c>
      <c r="J128" s="5" t="s">
        <v>271</v>
      </c>
    </row>
    <row r="129" spans="1:10" x14ac:dyDescent="0.3">
      <c r="A129" s="7" t="s">
        <v>136</v>
      </c>
      <c r="B129" s="5" t="s">
        <v>161</v>
      </c>
      <c r="C129" s="5" t="s">
        <v>166</v>
      </c>
      <c r="D129" s="5" t="s">
        <v>172</v>
      </c>
      <c r="E129" s="3">
        <v>91953</v>
      </c>
      <c r="F129" s="4">
        <v>42897</v>
      </c>
      <c r="G129" s="20">
        <v>2</v>
      </c>
      <c r="H129" s="5" t="s">
        <v>178</v>
      </c>
      <c r="I129" s="5" t="str">
        <f t="shared" si="1"/>
        <v>High Salary</v>
      </c>
      <c r="J129" s="5" t="s">
        <v>207</v>
      </c>
    </row>
    <row r="130" spans="1:10" x14ac:dyDescent="0.3">
      <c r="A130" s="7" t="s">
        <v>137</v>
      </c>
      <c r="B130" s="5" t="s">
        <v>164</v>
      </c>
      <c r="C130" s="5" t="s">
        <v>168</v>
      </c>
      <c r="D130" s="5" t="s">
        <v>172</v>
      </c>
      <c r="E130" s="3">
        <v>30402</v>
      </c>
      <c r="F130" s="4">
        <v>42904</v>
      </c>
      <c r="G130" s="20">
        <v>1</v>
      </c>
      <c r="H130" s="5" t="s">
        <v>176</v>
      </c>
      <c r="I130" s="5" t="str">
        <f t="shared" si="1"/>
        <v>low salary</v>
      </c>
      <c r="J130" s="5" t="s">
        <v>272</v>
      </c>
    </row>
    <row r="131" spans="1:10" x14ac:dyDescent="0.3">
      <c r="A131" s="7" t="s">
        <v>138</v>
      </c>
      <c r="B131" s="5" t="s">
        <v>165</v>
      </c>
      <c r="C131" s="5" t="s">
        <v>170</v>
      </c>
      <c r="D131" s="5" t="s">
        <v>174</v>
      </c>
      <c r="E131" s="3">
        <v>62994</v>
      </c>
      <c r="F131" s="4">
        <v>42911</v>
      </c>
      <c r="G131" s="20">
        <v>3</v>
      </c>
      <c r="H131" s="5" t="s">
        <v>176</v>
      </c>
      <c r="I131" s="5" t="str">
        <f t="shared" ref="I131:I151" si="2">IF(E131&gt;75000,"High Salary",IF(E131&gt;50000,"Normal Salary","low salary"))</f>
        <v>Normal Salary</v>
      </c>
      <c r="J131" s="5" t="s">
        <v>219</v>
      </c>
    </row>
    <row r="132" spans="1:10" x14ac:dyDescent="0.3">
      <c r="A132" s="7" t="s">
        <v>139</v>
      </c>
      <c r="B132" s="5" t="s">
        <v>160</v>
      </c>
      <c r="C132" s="5" t="s">
        <v>168</v>
      </c>
      <c r="D132" s="5" t="s">
        <v>173</v>
      </c>
      <c r="E132" s="3">
        <v>48289</v>
      </c>
      <c r="F132" s="4">
        <v>42196</v>
      </c>
      <c r="G132" s="20">
        <v>3</v>
      </c>
      <c r="H132" s="5" t="s">
        <v>178</v>
      </c>
      <c r="I132" s="5" t="str">
        <f t="shared" si="2"/>
        <v>low salary</v>
      </c>
      <c r="J132" s="5" t="s">
        <v>187</v>
      </c>
    </row>
    <row r="133" spans="1:10" x14ac:dyDescent="0.3">
      <c r="A133" s="7" t="s">
        <v>140</v>
      </c>
      <c r="B133" s="5" t="s">
        <v>163</v>
      </c>
      <c r="C133" s="5" t="s">
        <v>170</v>
      </c>
      <c r="D133" s="5" t="s">
        <v>171</v>
      </c>
      <c r="E133" s="3">
        <v>34402</v>
      </c>
      <c r="F133" s="4">
        <v>42925</v>
      </c>
      <c r="G133" s="20">
        <v>3</v>
      </c>
      <c r="H133" s="5" t="s">
        <v>177</v>
      </c>
      <c r="I133" s="5" t="str">
        <f t="shared" si="2"/>
        <v>low salary</v>
      </c>
      <c r="J133" s="5" t="s">
        <v>216</v>
      </c>
    </row>
    <row r="134" spans="1:10" x14ac:dyDescent="0.3">
      <c r="A134" s="7" t="s">
        <v>141</v>
      </c>
      <c r="B134" s="5" t="s">
        <v>159</v>
      </c>
      <c r="C134" s="5" t="s">
        <v>167</v>
      </c>
      <c r="D134" s="5" t="s">
        <v>172</v>
      </c>
      <c r="E134" s="3">
        <v>38678</v>
      </c>
      <c r="F134" s="4">
        <v>42932</v>
      </c>
      <c r="G134" s="20">
        <v>3</v>
      </c>
      <c r="H134" s="5" t="s">
        <v>177</v>
      </c>
      <c r="I134" s="5" t="str">
        <f t="shared" si="2"/>
        <v>low salary</v>
      </c>
      <c r="J134" s="5" t="s">
        <v>273</v>
      </c>
    </row>
    <row r="135" spans="1:10" x14ac:dyDescent="0.3">
      <c r="A135" s="7" t="s">
        <v>142</v>
      </c>
      <c r="B135" s="5" t="s">
        <v>164</v>
      </c>
      <c r="C135" s="5" t="s">
        <v>167</v>
      </c>
      <c r="D135" s="5" t="s">
        <v>171</v>
      </c>
      <c r="E135" s="3">
        <v>45758</v>
      </c>
      <c r="F135" s="4">
        <v>42939</v>
      </c>
      <c r="G135" s="20">
        <v>3</v>
      </c>
      <c r="H135" s="5" t="s">
        <v>176</v>
      </c>
      <c r="I135" s="5" t="str">
        <f t="shared" si="2"/>
        <v>low salary</v>
      </c>
      <c r="J135" s="5" t="s">
        <v>262</v>
      </c>
    </row>
    <row r="136" spans="1:10" x14ac:dyDescent="0.3">
      <c r="A136" s="7" t="s">
        <v>143</v>
      </c>
      <c r="B136" s="5" t="s">
        <v>159</v>
      </c>
      <c r="C136" s="5" t="s">
        <v>170</v>
      </c>
      <c r="D136" s="5" t="s">
        <v>173</v>
      </c>
      <c r="E136" s="3">
        <v>62476</v>
      </c>
      <c r="F136" s="4">
        <v>42946</v>
      </c>
      <c r="G136" s="20">
        <v>1</v>
      </c>
      <c r="H136" s="5" t="s">
        <v>177</v>
      </c>
      <c r="I136" s="5" t="str">
        <f t="shared" si="2"/>
        <v>Normal Salary</v>
      </c>
      <c r="J136" s="5" t="s">
        <v>229</v>
      </c>
    </row>
    <row r="137" spans="1:10" x14ac:dyDescent="0.3">
      <c r="A137" s="7" t="s">
        <v>144</v>
      </c>
      <c r="B137" s="5" t="s">
        <v>176</v>
      </c>
      <c r="C137" s="5" t="s">
        <v>169</v>
      </c>
      <c r="D137" s="5" t="s">
        <v>174</v>
      </c>
      <c r="E137" s="3">
        <v>39280</v>
      </c>
      <c r="F137" s="4">
        <v>42953</v>
      </c>
      <c r="G137" s="20">
        <v>3</v>
      </c>
      <c r="H137" s="5" t="s">
        <v>179</v>
      </c>
      <c r="I137" s="5" t="str">
        <f t="shared" si="2"/>
        <v>low salary</v>
      </c>
      <c r="J137" s="5" t="s">
        <v>212</v>
      </c>
    </row>
    <row r="138" spans="1:10" x14ac:dyDescent="0.3">
      <c r="A138" s="7" t="s">
        <v>145</v>
      </c>
      <c r="B138" s="5" t="s">
        <v>162</v>
      </c>
      <c r="C138" s="5" t="s">
        <v>166</v>
      </c>
      <c r="D138" s="5" t="s">
        <v>173</v>
      </c>
      <c r="E138" s="3">
        <v>60335</v>
      </c>
      <c r="F138" s="4">
        <v>42960</v>
      </c>
      <c r="G138" s="20">
        <v>4</v>
      </c>
      <c r="H138" s="5" t="s">
        <v>177</v>
      </c>
      <c r="I138" s="5" t="str">
        <f t="shared" si="2"/>
        <v>Normal Salary</v>
      </c>
      <c r="J138" s="5" t="s">
        <v>225</v>
      </c>
    </row>
    <row r="139" spans="1:10" x14ac:dyDescent="0.3">
      <c r="A139" s="7" t="s">
        <v>146</v>
      </c>
      <c r="B139" s="5" t="s">
        <v>164</v>
      </c>
      <c r="C139" s="5" t="s">
        <v>167</v>
      </c>
      <c r="D139" s="5" t="s">
        <v>171</v>
      </c>
      <c r="E139" s="3">
        <v>84968</v>
      </c>
      <c r="F139" s="4">
        <v>42967</v>
      </c>
      <c r="G139" s="20">
        <v>3</v>
      </c>
      <c r="H139" s="5" t="s">
        <v>176</v>
      </c>
      <c r="I139" s="5" t="str">
        <f t="shared" si="2"/>
        <v>High Salary</v>
      </c>
      <c r="J139" s="5" t="s">
        <v>274</v>
      </c>
    </row>
    <row r="140" spans="1:10" x14ac:dyDescent="0.3">
      <c r="A140" s="7" t="s">
        <v>147</v>
      </c>
      <c r="B140" s="5" t="s">
        <v>164</v>
      </c>
      <c r="C140" s="5" t="s">
        <v>170</v>
      </c>
      <c r="D140" s="5" t="s">
        <v>175</v>
      </c>
      <c r="E140" s="3">
        <v>84750</v>
      </c>
      <c r="F140" s="4">
        <v>42974</v>
      </c>
      <c r="G140" s="20">
        <v>4</v>
      </c>
      <c r="H140" s="5" t="s">
        <v>179</v>
      </c>
      <c r="I140" s="5" t="str">
        <f t="shared" si="2"/>
        <v>High Salary</v>
      </c>
      <c r="J140" s="5" t="s">
        <v>193</v>
      </c>
    </row>
    <row r="141" spans="1:10" x14ac:dyDescent="0.3">
      <c r="A141" s="7" t="s">
        <v>148</v>
      </c>
      <c r="B141" s="5" t="s">
        <v>165</v>
      </c>
      <c r="C141" s="5" t="s">
        <v>169</v>
      </c>
      <c r="D141" s="5" t="s">
        <v>176</v>
      </c>
      <c r="E141" s="3">
        <v>73348</v>
      </c>
      <c r="F141" s="4">
        <v>42981</v>
      </c>
      <c r="G141" s="20">
        <v>2</v>
      </c>
      <c r="H141" s="5" t="s">
        <v>176</v>
      </c>
      <c r="I141" s="5" t="str">
        <f t="shared" si="2"/>
        <v>Normal Salary</v>
      </c>
      <c r="J141" s="5" t="s">
        <v>241</v>
      </c>
    </row>
    <row r="142" spans="1:10" x14ac:dyDescent="0.3">
      <c r="A142" s="7" t="s">
        <v>149</v>
      </c>
      <c r="B142" s="5" t="s">
        <v>164</v>
      </c>
      <c r="C142" s="5" t="s">
        <v>168</v>
      </c>
      <c r="D142" s="5" t="s">
        <v>172</v>
      </c>
      <c r="E142" s="3">
        <v>66281</v>
      </c>
      <c r="F142" s="4">
        <v>42988</v>
      </c>
      <c r="G142" s="20">
        <v>4</v>
      </c>
      <c r="H142" s="5" t="s">
        <v>177</v>
      </c>
      <c r="I142" s="5" t="str">
        <f t="shared" si="2"/>
        <v>Normal Salary</v>
      </c>
      <c r="J142" s="5" t="s">
        <v>180</v>
      </c>
    </row>
    <row r="143" spans="1:10" x14ac:dyDescent="0.3">
      <c r="A143" s="7" t="s">
        <v>150</v>
      </c>
      <c r="B143" s="5" t="s">
        <v>162</v>
      </c>
      <c r="C143" s="5" t="s">
        <v>170</v>
      </c>
      <c r="D143" s="5" t="s">
        <v>172</v>
      </c>
      <c r="E143" s="3">
        <v>66882</v>
      </c>
      <c r="F143" s="4">
        <v>42995</v>
      </c>
      <c r="G143" s="20">
        <v>5</v>
      </c>
      <c r="H143" s="5" t="s">
        <v>177</v>
      </c>
      <c r="I143" s="5" t="str">
        <f t="shared" si="2"/>
        <v>Normal Salary</v>
      </c>
      <c r="J143" s="5" t="s">
        <v>205</v>
      </c>
    </row>
    <row r="144" spans="1:10" x14ac:dyDescent="0.3">
      <c r="A144" s="7" t="s">
        <v>151</v>
      </c>
      <c r="B144" s="5" t="s">
        <v>160</v>
      </c>
      <c r="C144" s="5" t="s">
        <v>170</v>
      </c>
      <c r="D144" s="5" t="s">
        <v>176</v>
      </c>
      <c r="E144" s="3">
        <v>86775</v>
      </c>
      <c r="F144" s="4">
        <v>43002</v>
      </c>
      <c r="G144" s="20">
        <v>3</v>
      </c>
      <c r="H144" s="5" t="s">
        <v>177</v>
      </c>
      <c r="I144" s="5" t="str">
        <f t="shared" si="2"/>
        <v>High Salary</v>
      </c>
      <c r="J144" s="5" t="s">
        <v>210</v>
      </c>
    </row>
    <row r="145" spans="1:10" x14ac:dyDescent="0.3">
      <c r="A145" s="7" t="s">
        <v>152</v>
      </c>
      <c r="B145" s="5" t="s">
        <v>164</v>
      </c>
      <c r="C145" s="5" t="s">
        <v>168</v>
      </c>
      <c r="D145" s="5" t="s">
        <v>174</v>
      </c>
      <c r="E145" s="3">
        <v>91620</v>
      </c>
      <c r="F145" s="4">
        <v>43009</v>
      </c>
      <c r="G145" s="20">
        <v>3</v>
      </c>
      <c r="H145" s="5" t="s">
        <v>176</v>
      </c>
      <c r="I145" s="5" t="str">
        <f t="shared" si="2"/>
        <v>High Salary</v>
      </c>
      <c r="J145" s="5" t="s">
        <v>275</v>
      </c>
    </row>
    <row r="146" spans="1:10" x14ac:dyDescent="0.3">
      <c r="A146" s="7" t="s">
        <v>153</v>
      </c>
      <c r="B146" s="5" t="s">
        <v>159</v>
      </c>
      <c r="C146" s="5" t="s">
        <v>170</v>
      </c>
      <c r="D146" s="5" t="s">
        <v>176</v>
      </c>
      <c r="E146" s="3">
        <v>94148</v>
      </c>
      <c r="F146" s="4">
        <v>43016</v>
      </c>
      <c r="G146" s="20">
        <v>2</v>
      </c>
      <c r="H146" s="5" t="s">
        <v>176</v>
      </c>
      <c r="I146" s="5" t="str">
        <f t="shared" si="2"/>
        <v>High Salary</v>
      </c>
      <c r="J146" s="5" t="s">
        <v>276</v>
      </c>
    </row>
    <row r="147" spans="1:10" x14ac:dyDescent="0.3">
      <c r="A147" s="7" t="s">
        <v>154</v>
      </c>
      <c r="B147" s="5" t="s">
        <v>163</v>
      </c>
      <c r="C147" s="5" t="s">
        <v>168</v>
      </c>
      <c r="D147" s="5" t="s">
        <v>175</v>
      </c>
      <c r="E147" s="3">
        <v>35627</v>
      </c>
      <c r="F147" s="4">
        <v>43023</v>
      </c>
      <c r="G147" s="20">
        <v>5</v>
      </c>
      <c r="H147" s="5" t="s">
        <v>179</v>
      </c>
      <c r="I147" s="5" t="str">
        <f t="shared" si="2"/>
        <v>low salary</v>
      </c>
      <c r="J147" s="5" t="s">
        <v>273</v>
      </c>
    </row>
    <row r="148" spans="1:10" x14ac:dyDescent="0.3">
      <c r="A148" s="7" t="s">
        <v>155</v>
      </c>
      <c r="B148" s="5" t="s">
        <v>161</v>
      </c>
      <c r="C148" s="5" t="s">
        <v>170</v>
      </c>
      <c r="D148" s="5" t="s">
        <v>172</v>
      </c>
      <c r="E148" s="3">
        <v>57141</v>
      </c>
      <c r="F148" s="4">
        <v>43030</v>
      </c>
      <c r="G148" s="20">
        <v>2</v>
      </c>
      <c r="H148" s="5" t="s">
        <v>176</v>
      </c>
      <c r="I148" s="5" t="str">
        <f t="shared" si="2"/>
        <v>Normal Salary</v>
      </c>
      <c r="J148" s="5" t="s">
        <v>274</v>
      </c>
    </row>
    <row r="149" spans="1:10" x14ac:dyDescent="0.3">
      <c r="A149" s="7" t="s">
        <v>156</v>
      </c>
      <c r="B149" s="5" t="s">
        <v>165</v>
      </c>
      <c r="C149" s="5" t="s">
        <v>168</v>
      </c>
      <c r="D149" s="5" t="s">
        <v>175</v>
      </c>
      <c r="E149" s="3">
        <v>65270</v>
      </c>
      <c r="F149" s="4">
        <v>43037</v>
      </c>
      <c r="G149" s="20">
        <v>1</v>
      </c>
      <c r="H149" s="5" t="s">
        <v>176</v>
      </c>
      <c r="I149" s="5" t="str">
        <f t="shared" si="2"/>
        <v>Normal Salary</v>
      </c>
      <c r="J149" s="5" t="s">
        <v>277</v>
      </c>
    </row>
    <row r="150" spans="1:10" x14ac:dyDescent="0.3">
      <c r="A150" s="7" t="s">
        <v>157</v>
      </c>
      <c r="B150" s="5" t="s">
        <v>165</v>
      </c>
      <c r="C150" s="5" t="s">
        <v>170</v>
      </c>
      <c r="D150" s="5" t="s">
        <v>174</v>
      </c>
      <c r="E150" s="3">
        <v>67335</v>
      </c>
      <c r="F150" s="4">
        <v>43044</v>
      </c>
      <c r="G150" s="20">
        <v>1</v>
      </c>
      <c r="H150" s="5" t="s">
        <v>177</v>
      </c>
      <c r="I150" s="5" t="str">
        <f t="shared" si="2"/>
        <v>Normal Salary</v>
      </c>
      <c r="J150" s="5" t="s">
        <v>231</v>
      </c>
    </row>
    <row r="151" spans="1:10" x14ac:dyDescent="0.3">
      <c r="A151" s="10" t="s">
        <v>158</v>
      </c>
      <c r="B151" s="11" t="s">
        <v>163</v>
      </c>
      <c r="C151" s="11" t="s">
        <v>170</v>
      </c>
      <c r="D151" s="11" t="s">
        <v>173</v>
      </c>
      <c r="E151" s="12">
        <v>98475</v>
      </c>
      <c r="F151" s="13">
        <v>43051</v>
      </c>
      <c r="G151" s="21">
        <v>5</v>
      </c>
      <c r="H151" s="11" t="s">
        <v>177</v>
      </c>
      <c r="I151" s="11" t="str">
        <f t="shared" si="2"/>
        <v>High Salary</v>
      </c>
      <c r="J151" s="11" t="s">
        <v>278</v>
      </c>
    </row>
  </sheetData>
  <dataConsolidate/>
  <phoneticPr fontId="3" type="noConversion"/>
  <conditionalFormatting sqref="E1:E1048576">
    <cfRule type="dataBar" priority="1">
      <dataBar>
        <cfvo type="min"/>
        <cfvo type="max"/>
        <color rgb="FF63C384"/>
      </dataBar>
      <extLst>
        <ext xmlns:x14="http://schemas.microsoft.com/office/spreadsheetml/2009/9/main" uri="{B025F937-C7B1-47D3-B67F-A62EFF666E3E}">
          <x14:id>{CCBBF978-557D-4B08-8F8C-25E215DF63E8}</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CBBF978-557D-4B08-8F8C-25E215DF63E8}">
            <x14:dataBar minLength="0" maxLength="100" border="1" negativeBarBorderColorSameAsPositive="0">
              <x14:cfvo type="autoMin"/>
              <x14:cfvo type="autoMax"/>
              <x14:borderColor rgb="FF63C384"/>
              <x14:negativeFillColor rgb="FFFF0000"/>
              <x14:negativeBorderColor rgb="FFFF0000"/>
              <x14:axisColor rgb="FF000000"/>
            </x14:dataBar>
          </x14:cfRule>
          <xm:sqref>E1:E1048576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4F49C-32CE-4E85-99BF-07BC711B617E}">
  <dimension ref="A1:B7"/>
  <sheetViews>
    <sheetView workbookViewId="0">
      <selection activeCell="A3" sqref="A3"/>
    </sheetView>
  </sheetViews>
  <sheetFormatPr defaultRowHeight="14.4" x14ac:dyDescent="0.3"/>
  <cols>
    <col min="1" max="1" width="13.33203125" bestFit="1" customWidth="1"/>
    <col min="2" max="2" width="19.5546875" bestFit="1" customWidth="1"/>
  </cols>
  <sheetData>
    <row r="1" spans="1:2" x14ac:dyDescent="0.3">
      <c r="A1" s="16" t="s">
        <v>2</v>
      </c>
      <c r="B1" t="s">
        <v>299</v>
      </c>
    </row>
    <row r="2" spans="1:2" x14ac:dyDescent="0.3">
      <c r="A2" s="6" t="s">
        <v>166</v>
      </c>
      <c r="B2">
        <v>22</v>
      </c>
    </row>
    <row r="3" spans="1:2" x14ac:dyDescent="0.3">
      <c r="A3" s="6" t="s">
        <v>167</v>
      </c>
      <c r="B3">
        <v>24</v>
      </c>
    </row>
    <row r="4" spans="1:2" x14ac:dyDescent="0.3">
      <c r="A4" s="6" t="s">
        <v>169</v>
      </c>
      <c r="B4">
        <v>25</v>
      </c>
    </row>
    <row r="5" spans="1:2" x14ac:dyDescent="0.3">
      <c r="A5" s="6" t="s">
        <v>170</v>
      </c>
      <c r="B5">
        <v>53</v>
      </c>
    </row>
    <row r="6" spans="1:2" x14ac:dyDescent="0.3">
      <c r="A6" s="6" t="s">
        <v>168</v>
      </c>
      <c r="B6">
        <v>26</v>
      </c>
    </row>
    <row r="7" spans="1:2" x14ac:dyDescent="0.3">
      <c r="A7" s="6" t="s">
        <v>298</v>
      </c>
      <c r="B7">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9237B-C6E5-4999-A2D3-031432321A1E}">
  <dimension ref="A2:B7"/>
  <sheetViews>
    <sheetView workbookViewId="0">
      <selection activeCell="I6" sqref="I6"/>
    </sheetView>
  </sheetViews>
  <sheetFormatPr defaultColWidth="20" defaultRowHeight="14.4" x14ac:dyDescent="0.3"/>
  <cols>
    <col min="1" max="1" width="10.77734375" bestFit="1" customWidth="1"/>
    <col min="2" max="2" width="19.5546875" bestFit="1" customWidth="1"/>
    <col min="3" max="5" width="12.33203125" customWidth="1"/>
    <col min="6" max="6" width="5.21875" bestFit="1" customWidth="1"/>
    <col min="7" max="7" width="10.77734375" bestFit="1" customWidth="1"/>
  </cols>
  <sheetData>
    <row r="2" spans="1:2" x14ac:dyDescent="0.3">
      <c r="A2" s="16" t="s">
        <v>7</v>
      </c>
      <c r="B2" t="s">
        <v>299</v>
      </c>
    </row>
    <row r="3" spans="1:2" x14ac:dyDescent="0.3">
      <c r="A3" s="6" t="s">
        <v>179</v>
      </c>
      <c r="B3">
        <v>34</v>
      </c>
    </row>
    <row r="4" spans="1:2" x14ac:dyDescent="0.3">
      <c r="A4" s="6" t="s">
        <v>178</v>
      </c>
      <c r="B4">
        <v>32</v>
      </c>
    </row>
    <row r="5" spans="1:2" x14ac:dyDescent="0.3">
      <c r="A5" s="6" t="s">
        <v>177</v>
      </c>
      <c r="B5">
        <v>35</v>
      </c>
    </row>
    <row r="6" spans="1:2" x14ac:dyDescent="0.3">
      <c r="A6" s="6" t="s">
        <v>176</v>
      </c>
      <c r="B6">
        <v>49</v>
      </c>
    </row>
    <row r="7" spans="1:2" x14ac:dyDescent="0.3">
      <c r="A7" s="6" t="s">
        <v>298</v>
      </c>
      <c r="B7">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CBA6-7623-43B1-A316-27A1F6DB4C7D}">
  <dimension ref="A1:G4"/>
  <sheetViews>
    <sheetView workbookViewId="0">
      <selection activeCell="I9" sqref="I9"/>
    </sheetView>
  </sheetViews>
  <sheetFormatPr defaultRowHeight="14.4" x14ac:dyDescent="0.3"/>
  <cols>
    <col min="1" max="1" width="19.5546875" bestFit="1" customWidth="1"/>
    <col min="2" max="2" width="15.5546875" bestFit="1" customWidth="1"/>
    <col min="3" max="3" width="3.33203125" bestFit="1" customWidth="1"/>
    <col min="4" max="4" width="2.5546875" bestFit="1" customWidth="1"/>
    <col min="5" max="5" width="9.6640625" bestFit="1" customWidth="1"/>
    <col min="6" max="6" width="5.21875" bestFit="1" customWidth="1"/>
    <col min="7" max="7" width="10.77734375" bestFit="1" customWidth="1"/>
    <col min="17" max="17" width="11.6640625" bestFit="1" customWidth="1"/>
    <col min="32" max="32" width="10.77734375" bestFit="1" customWidth="1"/>
    <col min="152" max="152" width="10.77734375" bestFit="1" customWidth="1"/>
  </cols>
  <sheetData>
    <row r="1" spans="1:7" x14ac:dyDescent="0.3">
      <c r="A1" s="16" t="s">
        <v>299</v>
      </c>
      <c r="B1" s="16" t="s">
        <v>304</v>
      </c>
    </row>
    <row r="2" spans="1:7" x14ac:dyDescent="0.3">
      <c r="A2" s="16" t="s">
        <v>297</v>
      </c>
      <c r="B2" t="s">
        <v>166</v>
      </c>
      <c r="C2" t="s">
        <v>167</v>
      </c>
      <c r="D2" t="s">
        <v>169</v>
      </c>
      <c r="E2" t="s">
        <v>170</v>
      </c>
      <c r="F2" t="s">
        <v>168</v>
      </c>
      <c r="G2" t="s">
        <v>298</v>
      </c>
    </row>
    <row r="3" spans="1:7" x14ac:dyDescent="0.3">
      <c r="A3" s="6">
        <v>1</v>
      </c>
      <c r="B3">
        <v>6</v>
      </c>
      <c r="C3">
        <v>4</v>
      </c>
      <c r="D3">
        <v>5</v>
      </c>
      <c r="E3">
        <v>9</v>
      </c>
      <c r="F3">
        <v>6</v>
      </c>
      <c r="G3">
        <v>30</v>
      </c>
    </row>
    <row r="4" spans="1:7" x14ac:dyDescent="0.3">
      <c r="A4" s="6" t="s">
        <v>298</v>
      </c>
      <c r="B4">
        <v>6</v>
      </c>
      <c r="C4">
        <v>4</v>
      </c>
      <c r="D4">
        <v>5</v>
      </c>
      <c r="E4">
        <v>9</v>
      </c>
      <c r="F4">
        <v>6</v>
      </c>
      <c r="G4">
        <v>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CADF-85A5-497C-A50C-CBEDA1EDC9D7}">
  <dimension ref="A1:H9"/>
  <sheetViews>
    <sheetView workbookViewId="0"/>
  </sheetViews>
  <sheetFormatPr defaultRowHeight="14.4" x14ac:dyDescent="0.3"/>
  <cols>
    <col min="1" max="1" width="12.5546875" bestFit="1" customWidth="1"/>
    <col min="2" max="4" width="8" bestFit="1" customWidth="1"/>
    <col min="5" max="5" width="9.6640625" bestFit="1" customWidth="1"/>
    <col min="6" max="6" width="8" bestFit="1" customWidth="1"/>
    <col min="7" max="7" width="10.77734375" bestFit="1" customWidth="1"/>
  </cols>
  <sheetData>
    <row r="1" spans="1:8" x14ac:dyDescent="0.3">
      <c r="A1" s="16" t="s">
        <v>305</v>
      </c>
      <c r="B1" s="16" t="s">
        <v>280</v>
      </c>
      <c r="H1" s="6"/>
    </row>
    <row r="2" spans="1:8" x14ac:dyDescent="0.3">
      <c r="A2" s="16" t="s">
        <v>3</v>
      </c>
      <c r="B2" t="s">
        <v>166</v>
      </c>
      <c r="C2" t="s">
        <v>167</v>
      </c>
      <c r="D2" t="s">
        <v>169</v>
      </c>
      <c r="E2" t="s">
        <v>170</v>
      </c>
      <c r="F2" t="s">
        <v>168</v>
      </c>
      <c r="G2" t="s">
        <v>298</v>
      </c>
    </row>
    <row r="3" spans="1:8" x14ac:dyDescent="0.3">
      <c r="A3" s="6" t="s">
        <v>175</v>
      </c>
      <c r="B3">
        <v>137442</v>
      </c>
      <c r="C3">
        <v>69420</v>
      </c>
      <c r="D3">
        <v>70470</v>
      </c>
      <c r="E3">
        <v>538488</v>
      </c>
      <c r="F3">
        <v>354767</v>
      </c>
      <c r="G3">
        <v>1170587</v>
      </c>
    </row>
    <row r="4" spans="1:8" x14ac:dyDescent="0.3">
      <c r="A4" s="6" t="s">
        <v>171</v>
      </c>
      <c r="B4">
        <v>63184</v>
      </c>
      <c r="C4">
        <v>635075</v>
      </c>
      <c r="D4">
        <v>291041</v>
      </c>
      <c r="E4">
        <v>334048</v>
      </c>
      <c r="F4">
        <v>192674</v>
      </c>
      <c r="G4">
        <v>1516022</v>
      </c>
    </row>
    <row r="5" spans="1:8" x14ac:dyDescent="0.3">
      <c r="A5" s="6" t="s">
        <v>173</v>
      </c>
      <c r="B5">
        <v>287562</v>
      </c>
      <c r="C5">
        <v>58245</v>
      </c>
      <c r="D5">
        <v>416649</v>
      </c>
      <c r="E5">
        <v>643914</v>
      </c>
      <c r="F5">
        <v>466701</v>
      </c>
      <c r="G5">
        <v>1873071</v>
      </c>
    </row>
    <row r="6" spans="1:8" x14ac:dyDescent="0.3">
      <c r="A6" s="6" t="s">
        <v>174</v>
      </c>
      <c r="B6">
        <v>278949</v>
      </c>
      <c r="C6">
        <v>277315</v>
      </c>
      <c r="D6">
        <v>220971</v>
      </c>
      <c r="E6">
        <v>684771</v>
      </c>
      <c r="F6">
        <v>91620</v>
      </c>
      <c r="G6">
        <v>1553626</v>
      </c>
    </row>
    <row r="7" spans="1:8" x14ac:dyDescent="0.3">
      <c r="A7" s="6" t="s">
        <v>176</v>
      </c>
      <c r="B7">
        <v>430591</v>
      </c>
      <c r="C7">
        <v>444921</v>
      </c>
      <c r="D7">
        <v>325729</v>
      </c>
      <c r="E7">
        <v>725617</v>
      </c>
      <c r="F7">
        <v>260281</v>
      </c>
      <c r="G7">
        <v>2187139</v>
      </c>
    </row>
    <row r="8" spans="1:8" x14ac:dyDescent="0.3">
      <c r="A8" s="6" t="s">
        <v>172</v>
      </c>
      <c r="B8">
        <v>246925</v>
      </c>
      <c r="C8">
        <v>141500</v>
      </c>
      <c r="D8">
        <v>329201</v>
      </c>
      <c r="E8">
        <v>525604</v>
      </c>
      <c r="F8">
        <v>398465</v>
      </c>
      <c r="G8">
        <v>1641695</v>
      </c>
    </row>
    <row r="9" spans="1:8" x14ac:dyDescent="0.3">
      <c r="A9" s="6" t="s">
        <v>298</v>
      </c>
      <c r="B9">
        <v>1444653</v>
      </c>
      <c r="C9">
        <v>1626476</v>
      </c>
      <c r="D9">
        <v>1654061</v>
      </c>
      <c r="E9">
        <v>3452442</v>
      </c>
      <c r="F9">
        <v>1764508</v>
      </c>
      <c r="G9">
        <v>9942140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F0BA1-0EC7-4DD9-9DA0-10938B9BE43F}">
  <dimension ref="A3:G8"/>
  <sheetViews>
    <sheetView workbookViewId="0">
      <selection activeCell="G15" sqref="G15"/>
    </sheetView>
  </sheetViews>
  <sheetFormatPr defaultRowHeight="14.4" x14ac:dyDescent="0.3"/>
  <cols>
    <col min="1" max="1" width="19.5546875" bestFit="1" customWidth="1"/>
    <col min="2" max="2" width="15.5546875" bestFit="1" customWidth="1"/>
    <col min="3" max="6" width="3" bestFit="1" customWidth="1"/>
    <col min="7" max="7" width="10.77734375" bestFit="1" customWidth="1"/>
  </cols>
  <sheetData>
    <row r="3" spans="1:7" x14ac:dyDescent="0.3">
      <c r="A3" s="16" t="s">
        <v>299</v>
      </c>
      <c r="B3" s="16" t="s">
        <v>304</v>
      </c>
    </row>
    <row r="4" spans="1:7" x14ac:dyDescent="0.3">
      <c r="A4" s="16" t="s">
        <v>297</v>
      </c>
      <c r="B4">
        <v>1</v>
      </c>
      <c r="C4">
        <v>2</v>
      </c>
      <c r="D4">
        <v>3</v>
      </c>
      <c r="E4">
        <v>4</v>
      </c>
      <c r="F4">
        <v>5</v>
      </c>
      <c r="G4" t="s">
        <v>298</v>
      </c>
    </row>
    <row r="5" spans="1:7" x14ac:dyDescent="0.3">
      <c r="A5" s="6" t="s">
        <v>301</v>
      </c>
      <c r="B5">
        <v>9</v>
      </c>
      <c r="C5">
        <v>11</v>
      </c>
      <c r="D5">
        <v>22</v>
      </c>
      <c r="E5">
        <v>5</v>
      </c>
      <c r="F5">
        <v>10</v>
      </c>
      <c r="G5">
        <v>57</v>
      </c>
    </row>
    <row r="6" spans="1:7" x14ac:dyDescent="0.3">
      <c r="A6" s="6" t="s">
        <v>302</v>
      </c>
      <c r="B6">
        <v>11</v>
      </c>
      <c r="C6">
        <v>6</v>
      </c>
      <c r="D6">
        <v>18</v>
      </c>
      <c r="E6">
        <v>7</v>
      </c>
      <c r="F6">
        <v>8</v>
      </c>
      <c r="G6">
        <v>50</v>
      </c>
    </row>
    <row r="7" spans="1:7" x14ac:dyDescent="0.3">
      <c r="A7" s="6" t="s">
        <v>303</v>
      </c>
      <c r="B7">
        <v>10</v>
      </c>
      <c r="C7">
        <v>6</v>
      </c>
      <c r="D7">
        <v>15</v>
      </c>
      <c r="E7">
        <v>5</v>
      </c>
      <c r="F7">
        <v>7</v>
      </c>
      <c r="G7">
        <v>43</v>
      </c>
    </row>
    <row r="8" spans="1:7" x14ac:dyDescent="0.3">
      <c r="A8" s="6" t="s">
        <v>298</v>
      </c>
      <c r="B8">
        <v>30</v>
      </c>
      <c r="C8">
        <v>23</v>
      </c>
      <c r="D8">
        <v>55</v>
      </c>
      <c r="E8">
        <v>17</v>
      </c>
      <c r="F8">
        <v>25</v>
      </c>
      <c r="G8">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210B9-9279-490F-904F-C732E3A76CA3}">
  <dimension ref="A1:G6"/>
  <sheetViews>
    <sheetView workbookViewId="0">
      <selection activeCell="N26" sqref="N26"/>
    </sheetView>
  </sheetViews>
  <sheetFormatPr defaultRowHeight="14.4" x14ac:dyDescent="0.3"/>
  <cols>
    <col min="1" max="1" width="19.5546875" bestFit="1" customWidth="1"/>
    <col min="2" max="2" width="7.44140625" bestFit="1" customWidth="1"/>
    <col min="3" max="3" width="3.33203125" bestFit="1" customWidth="1"/>
    <col min="4" max="4" width="3" bestFit="1" customWidth="1"/>
    <col min="5" max="5" width="9.6640625" bestFit="1" customWidth="1"/>
    <col min="6" max="6" width="5.21875" bestFit="1" customWidth="1"/>
    <col min="7" max="8" width="10.77734375" bestFit="1" customWidth="1"/>
  </cols>
  <sheetData>
    <row r="1" spans="1:7" x14ac:dyDescent="0.3">
      <c r="A1" s="16" t="s">
        <v>299</v>
      </c>
      <c r="B1" s="16" t="s">
        <v>280</v>
      </c>
    </row>
    <row r="2" spans="1:7" x14ac:dyDescent="0.3">
      <c r="A2" s="16" t="s">
        <v>279</v>
      </c>
      <c r="B2" t="s">
        <v>166</v>
      </c>
      <c r="C2" t="s">
        <v>167</v>
      </c>
      <c r="D2" t="s">
        <v>169</v>
      </c>
      <c r="E2" t="s">
        <v>170</v>
      </c>
      <c r="F2" t="s">
        <v>168</v>
      </c>
      <c r="G2" t="s">
        <v>298</v>
      </c>
    </row>
    <row r="3" spans="1:7" x14ac:dyDescent="0.3">
      <c r="A3" s="6" t="s">
        <v>282</v>
      </c>
      <c r="B3">
        <v>8</v>
      </c>
      <c r="C3">
        <v>9</v>
      </c>
      <c r="D3">
        <v>10</v>
      </c>
      <c r="E3">
        <v>18</v>
      </c>
      <c r="F3">
        <v>10</v>
      </c>
      <c r="G3">
        <v>55</v>
      </c>
    </row>
    <row r="4" spans="1:7" x14ac:dyDescent="0.3">
      <c r="A4" s="6" t="s">
        <v>283</v>
      </c>
      <c r="B4">
        <v>6</v>
      </c>
      <c r="C4">
        <v>6</v>
      </c>
      <c r="D4">
        <v>9</v>
      </c>
      <c r="E4">
        <v>13</v>
      </c>
      <c r="F4">
        <v>7</v>
      </c>
      <c r="G4">
        <v>41</v>
      </c>
    </row>
    <row r="5" spans="1:7" x14ac:dyDescent="0.3">
      <c r="A5" s="6" t="s">
        <v>281</v>
      </c>
      <c r="B5">
        <v>8</v>
      </c>
      <c r="C5">
        <v>9</v>
      </c>
      <c r="D5">
        <v>6</v>
      </c>
      <c r="E5">
        <v>22</v>
      </c>
      <c r="F5">
        <v>9</v>
      </c>
      <c r="G5">
        <v>54</v>
      </c>
    </row>
    <row r="6" spans="1:7" x14ac:dyDescent="0.3">
      <c r="A6" s="6" t="s">
        <v>298</v>
      </c>
      <c r="B6">
        <v>22</v>
      </c>
      <c r="C6">
        <v>24</v>
      </c>
      <c r="D6">
        <v>25</v>
      </c>
      <c r="E6">
        <v>53</v>
      </c>
      <c r="F6">
        <v>26</v>
      </c>
      <c r="G6">
        <v>150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F2DD-48F7-43D1-B8B2-45DAA5B683E3}">
  <dimension ref="A1:E188"/>
  <sheetViews>
    <sheetView workbookViewId="0">
      <selection activeCell="G2" sqref="G2"/>
    </sheetView>
  </sheetViews>
  <sheetFormatPr defaultColWidth="14.6640625" defaultRowHeight="14.4" x14ac:dyDescent="0.3"/>
  <cols>
    <col min="1" max="1" width="15.77734375" bestFit="1" customWidth="1"/>
    <col min="2" max="2" width="20.109375" bestFit="1" customWidth="1"/>
    <col min="3" max="3" width="21.6640625" customWidth="1"/>
    <col min="4" max="4" width="24.33203125" customWidth="1"/>
    <col min="5" max="5" width="25.21875" customWidth="1"/>
  </cols>
  <sheetData>
    <row r="1" spans="1:5" ht="31.8" customHeight="1" x14ac:dyDescent="0.3">
      <c r="A1" t="s">
        <v>5</v>
      </c>
      <c r="B1" t="s">
        <v>6</v>
      </c>
      <c r="C1" s="25" t="s">
        <v>306</v>
      </c>
      <c r="D1" s="25" t="s">
        <v>307</v>
      </c>
      <c r="E1" s="25" t="s">
        <v>308</v>
      </c>
    </row>
    <row r="2" spans="1:5" x14ac:dyDescent="0.3">
      <c r="A2" s="23">
        <v>42015</v>
      </c>
      <c r="B2" s="24">
        <v>1</v>
      </c>
    </row>
    <row r="3" spans="1:5" x14ac:dyDescent="0.3">
      <c r="A3" s="23">
        <v>42022</v>
      </c>
      <c r="B3" s="24">
        <v>2</v>
      </c>
    </row>
    <row r="4" spans="1:5" x14ac:dyDescent="0.3">
      <c r="A4" s="23">
        <v>42029</v>
      </c>
      <c r="B4" s="24">
        <v>1</v>
      </c>
    </row>
    <row r="5" spans="1:5" x14ac:dyDescent="0.3">
      <c r="A5" s="23">
        <v>42036</v>
      </c>
      <c r="B5" s="24">
        <v>1</v>
      </c>
    </row>
    <row r="6" spans="1:5" x14ac:dyDescent="0.3">
      <c r="A6" s="23">
        <v>42043</v>
      </c>
      <c r="B6" s="24">
        <v>2</v>
      </c>
    </row>
    <row r="7" spans="1:5" x14ac:dyDescent="0.3">
      <c r="A7" s="23">
        <v>42050</v>
      </c>
      <c r="B7" s="24">
        <v>3</v>
      </c>
    </row>
    <row r="8" spans="1:5" x14ac:dyDescent="0.3">
      <c r="A8" s="23">
        <v>42057</v>
      </c>
      <c r="B8" s="24">
        <v>2</v>
      </c>
    </row>
    <row r="9" spans="1:5" x14ac:dyDescent="0.3">
      <c r="A9" s="23">
        <v>42064</v>
      </c>
      <c r="B9" s="24">
        <v>3</v>
      </c>
    </row>
    <row r="10" spans="1:5" x14ac:dyDescent="0.3">
      <c r="A10" s="23">
        <v>42071</v>
      </c>
      <c r="B10" s="24">
        <v>3</v>
      </c>
    </row>
    <row r="11" spans="1:5" x14ac:dyDescent="0.3">
      <c r="A11" s="23">
        <v>42078</v>
      </c>
      <c r="B11" s="24">
        <v>1</v>
      </c>
    </row>
    <row r="12" spans="1:5" x14ac:dyDescent="0.3">
      <c r="A12" s="23">
        <v>42085</v>
      </c>
      <c r="B12" s="24">
        <v>5</v>
      </c>
    </row>
    <row r="13" spans="1:5" x14ac:dyDescent="0.3">
      <c r="A13" s="23">
        <v>42092</v>
      </c>
      <c r="B13" s="24">
        <v>5</v>
      </c>
    </row>
    <row r="14" spans="1:5" x14ac:dyDescent="0.3">
      <c r="A14" s="23">
        <v>42099</v>
      </c>
      <c r="B14" s="24">
        <v>4</v>
      </c>
    </row>
    <row r="15" spans="1:5" x14ac:dyDescent="0.3">
      <c r="A15" s="23">
        <v>42106</v>
      </c>
      <c r="B15" s="24">
        <v>2</v>
      </c>
    </row>
    <row r="16" spans="1:5" x14ac:dyDescent="0.3">
      <c r="A16" s="23">
        <v>42113</v>
      </c>
      <c r="B16" s="24">
        <v>3</v>
      </c>
    </row>
    <row r="17" spans="1:2" x14ac:dyDescent="0.3">
      <c r="A17" s="23">
        <v>42120</v>
      </c>
      <c r="B17" s="24">
        <v>3</v>
      </c>
    </row>
    <row r="18" spans="1:2" x14ac:dyDescent="0.3">
      <c r="A18" s="23">
        <v>42127</v>
      </c>
      <c r="B18" s="24">
        <v>1</v>
      </c>
    </row>
    <row r="19" spans="1:2" x14ac:dyDescent="0.3">
      <c r="A19" s="23">
        <v>42134</v>
      </c>
      <c r="B19" s="24">
        <v>3</v>
      </c>
    </row>
    <row r="20" spans="1:2" x14ac:dyDescent="0.3">
      <c r="A20" s="23">
        <v>42141</v>
      </c>
      <c r="B20" s="24">
        <v>5</v>
      </c>
    </row>
    <row r="21" spans="1:2" x14ac:dyDescent="0.3">
      <c r="A21" s="23">
        <v>42148</v>
      </c>
      <c r="B21" s="24">
        <v>2</v>
      </c>
    </row>
    <row r="22" spans="1:2" x14ac:dyDescent="0.3">
      <c r="A22" s="23">
        <v>42155</v>
      </c>
      <c r="B22" s="24">
        <v>4</v>
      </c>
    </row>
    <row r="23" spans="1:2" x14ac:dyDescent="0.3">
      <c r="A23" s="23">
        <v>42162</v>
      </c>
      <c r="B23" s="24">
        <v>5</v>
      </c>
    </row>
    <row r="24" spans="1:2" x14ac:dyDescent="0.3">
      <c r="A24" s="23">
        <v>42169</v>
      </c>
      <c r="B24" s="24">
        <v>3</v>
      </c>
    </row>
    <row r="25" spans="1:2" x14ac:dyDescent="0.3">
      <c r="A25" s="23">
        <v>42176</v>
      </c>
      <c r="B25" s="24">
        <v>1</v>
      </c>
    </row>
    <row r="26" spans="1:2" x14ac:dyDescent="0.3">
      <c r="A26" s="23">
        <v>42183</v>
      </c>
      <c r="B26" s="24">
        <v>3</v>
      </c>
    </row>
    <row r="27" spans="1:2" x14ac:dyDescent="0.3">
      <c r="A27" s="23">
        <v>42190</v>
      </c>
      <c r="B27" s="24">
        <v>2</v>
      </c>
    </row>
    <row r="28" spans="1:2" x14ac:dyDescent="0.3">
      <c r="A28" s="23">
        <v>42197</v>
      </c>
      <c r="B28" s="24">
        <v>3</v>
      </c>
    </row>
    <row r="29" spans="1:2" x14ac:dyDescent="0.3">
      <c r="A29" s="23">
        <v>42204</v>
      </c>
      <c r="B29" s="24">
        <v>2</v>
      </c>
    </row>
    <row r="30" spans="1:2" x14ac:dyDescent="0.3">
      <c r="A30" s="23">
        <v>42211</v>
      </c>
      <c r="B30" s="24">
        <v>5</v>
      </c>
    </row>
    <row r="31" spans="1:2" x14ac:dyDescent="0.3">
      <c r="A31" s="23">
        <v>42218</v>
      </c>
      <c r="B31" s="24">
        <v>4</v>
      </c>
    </row>
    <row r="32" spans="1:2" x14ac:dyDescent="0.3">
      <c r="A32" s="23">
        <v>42225</v>
      </c>
      <c r="B32" s="24">
        <v>3</v>
      </c>
    </row>
    <row r="33" spans="1:2" x14ac:dyDescent="0.3">
      <c r="A33" s="23">
        <v>42232</v>
      </c>
      <c r="B33" s="24">
        <v>3</v>
      </c>
    </row>
    <row r="34" spans="1:2" x14ac:dyDescent="0.3">
      <c r="A34" s="23">
        <v>42239</v>
      </c>
      <c r="B34" s="24">
        <v>3</v>
      </c>
    </row>
    <row r="35" spans="1:2" x14ac:dyDescent="0.3">
      <c r="A35" s="23">
        <v>42246</v>
      </c>
      <c r="B35" s="24">
        <v>3</v>
      </c>
    </row>
    <row r="36" spans="1:2" x14ac:dyDescent="0.3">
      <c r="A36" s="23">
        <v>42253</v>
      </c>
      <c r="B36" s="24">
        <v>4</v>
      </c>
    </row>
    <row r="37" spans="1:2" x14ac:dyDescent="0.3">
      <c r="A37" s="23">
        <v>42260</v>
      </c>
      <c r="B37" s="24">
        <v>3</v>
      </c>
    </row>
    <row r="38" spans="1:2" x14ac:dyDescent="0.3">
      <c r="A38" s="23">
        <v>42267</v>
      </c>
      <c r="B38" s="24">
        <v>3</v>
      </c>
    </row>
    <row r="39" spans="1:2" x14ac:dyDescent="0.3">
      <c r="A39" s="23">
        <v>42274</v>
      </c>
      <c r="B39" s="24">
        <v>5</v>
      </c>
    </row>
    <row r="40" spans="1:2" x14ac:dyDescent="0.3">
      <c r="A40" s="23">
        <v>42281</v>
      </c>
      <c r="B40" s="24">
        <v>3</v>
      </c>
    </row>
    <row r="41" spans="1:2" x14ac:dyDescent="0.3">
      <c r="A41" s="23">
        <v>42288</v>
      </c>
      <c r="B41" s="24">
        <v>3</v>
      </c>
    </row>
    <row r="42" spans="1:2" x14ac:dyDescent="0.3">
      <c r="A42" s="23">
        <v>42295</v>
      </c>
      <c r="B42" s="24">
        <v>3</v>
      </c>
    </row>
    <row r="43" spans="1:2" x14ac:dyDescent="0.3">
      <c r="A43" s="23">
        <v>42302</v>
      </c>
      <c r="B43" s="24">
        <v>1</v>
      </c>
    </row>
    <row r="44" spans="1:2" x14ac:dyDescent="0.3">
      <c r="A44" s="23">
        <v>42309</v>
      </c>
      <c r="B44" s="24">
        <v>3</v>
      </c>
    </row>
    <row r="45" spans="1:2" x14ac:dyDescent="0.3">
      <c r="A45" s="23">
        <v>42316</v>
      </c>
      <c r="B45" s="24">
        <v>1</v>
      </c>
    </row>
    <row r="46" spans="1:2" x14ac:dyDescent="0.3">
      <c r="A46" s="23">
        <v>42323</v>
      </c>
      <c r="B46" s="24">
        <v>3</v>
      </c>
    </row>
    <row r="47" spans="1:2" x14ac:dyDescent="0.3">
      <c r="A47" s="23">
        <v>42330</v>
      </c>
      <c r="B47" s="24">
        <v>3</v>
      </c>
    </row>
    <row r="48" spans="1:2" x14ac:dyDescent="0.3">
      <c r="A48" s="23">
        <v>42337</v>
      </c>
      <c r="B48" s="24">
        <v>4</v>
      </c>
    </row>
    <row r="49" spans="1:2" x14ac:dyDescent="0.3">
      <c r="A49" s="23">
        <v>42344</v>
      </c>
      <c r="B49" s="24">
        <v>2</v>
      </c>
    </row>
    <row r="50" spans="1:2" x14ac:dyDescent="0.3">
      <c r="A50" s="23">
        <v>42351</v>
      </c>
      <c r="B50" s="24">
        <v>5</v>
      </c>
    </row>
    <row r="51" spans="1:2" x14ac:dyDescent="0.3">
      <c r="A51" s="23">
        <v>42358</v>
      </c>
      <c r="B51" s="24">
        <v>5</v>
      </c>
    </row>
    <row r="52" spans="1:2" x14ac:dyDescent="0.3">
      <c r="A52" s="23">
        <v>42365</v>
      </c>
      <c r="B52" s="24">
        <v>5</v>
      </c>
    </row>
    <row r="53" spans="1:2" x14ac:dyDescent="0.3">
      <c r="A53" s="23">
        <v>42372</v>
      </c>
      <c r="B53" s="24">
        <v>1</v>
      </c>
    </row>
    <row r="54" spans="1:2" x14ac:dyDescent="0.3">
      <c r="A54" s="23">
        <v>42379</v>
      </c>
      <c r="B54" s="24">
        <v>3</v>
      </c>
    </row>
    <row r="55" spans="1:2" x14ac:dyDescent="0.3">
      <c r="A55" s="23">
        <v>42386</v>
      </c>
      <c r="B55" s="24">
        <v>5</v>
      </c>
    </row>
    <row r="56" spans="1:2" x14ac:dyDescent="0.3">
      <c r="A56" s="23">
        <v>42393</v>
      </c>
      <c r="B56" s="24">
        <v>5</v>
      </c>
    </row>
    <row r="57" spans="1:2" x14ac:dyDescent="0.3">
      <c r="A57" s="23">
        <v>42400</v>
      </c>
      <c r="B57" s="24">
        <v>1</v>
      </c>
    </row>
    <row r="58" spans="1:2" x14ac:dyDescent="0.3">
      <c r="A58" s="23">
        <v>42407</v>
      </c>
      <c r="B58" s="24">
        <v>3</v>
      </c>
    </row>
    <row r="59" spans="1:2" x14ac:dyDescent="0.3">
      <c r="A59" s="23">
        <v>42414</v>
      </c>
      <c r="B59" s="24">
        <v>5</v>
      </c>
    </row>
    <row r="60" spans="1:2" x14ac:dyDescent="0.3">
      <c r="A60" s="23">
        <v>42421</v>
      </c>
      <c r="B60" s="24">
        <v>1</v>
      </c>
    </row>
    <row r="61" spans="1:2" x14ac:dyDescent="0.3">
      <c r="A61" s="23">
        <v>42428</v>
      </c>
      <c r="B61" s="24">
        <v>1.5</v>
      </c>
    </row>
    <row r="62" spans="1:2" x14ac:dyDescent="0.3">
      <c r="A62" s="23">
        <v>42435</v>
      </c>
      <c r="B62" s="24">
        <v>2</v>
      </c>
    </row>
    <row r="63" spans="1:2" x14ac:dyDescent="0.3">
      <c r="A63" s="23">
        <v>42442</v>
      </c>
      <c r="B63" s="24">
        <v>5</v>
      </c>
    </row>
    <row r="64" spans="1:2" x14ac:dyDescent="0.3">
      <c r="A64" s="23">
        <v>42449</v>
      </c>
      <c r="B64" s="24">
        <v>2</v>
      </c>
    </row>
    <row r="65" spans="1:2" x14ac:dyDescent="0.3">
      <c r="A65" s="23">
        <v>42456</v>
      </c>
      <c r="B65" s="24">
        <v>1</v>
      </c>
    </row>
    <row r="66" spans="1:2" x14ac:dyDescent="0.3">
      <c r="A66" s="23">
        <v>42463</v>
      </c>
      <c r="B66" s="24">
        <v>4</v>
      </c>
    </row>
    <row r="67" spans="1:2" x14ac:dyDescent="0.3">
      <c r="A67" s="23">
        <v>42470</v>
      </c>
      <c r="B67" s="24">
        <v>3</v>
      </c>
    </row>
    <row r="68" spans="1:2" x14ac:dyDescent="0.3">
      <c r="A68" s="23">
        <v>42477</v>
      </c>
      <c r="B68" s="24">
        <v>3</v>
      </c>
    </row>
    <row r="69" spans="1:2" x14ac:dyDescent="0.3">
      <c r="A69" s="23">
        <v>42484</v>
      </c>
      <c r="B69" s="24">
        <v>2</v>
      </c>
    </row>
    <row r="70" spans="1:2" x14ac:dyDescent="0.3">
      <c r="A70" s="23">
        <v>42491</v>
      </c>
      <c r="B70" s="24">
        <v>1</v>
      </c>
    </row>
    <row r="71" spans="1:2" x14ac:dyDescent="0.3">
      <c r="A71" s="23">
        <v>42498</v>
      </c>
      <c r="B71" s="24">
        <v>5</v>
      </c>
    </row>
    <row r="72" spans="1:2" x14ac:dyDescent="0.3">
      <c r="A72" s="23">
        <v>42505</v>
      </c>
      <c r="B72" s="24">
        <v>3</v>
      </c>
    </row>
    <row r="73" spans="1:2" x14ac:dyDescent="0.3">
      <c r="A73" s="23">
        <v>42512</v>
      </c>
      <c r="B73" s="24">
        <v>3</v>
      </c>
    </row>
    <row r="74" spans="1:2" x14ac:dyDescent="0.3">
      <c r="A74" s="23">
        <v>42519</v>
      </c>
      <c r="B74" s="24">
        <v>4</v>
      </c>
    </row>
    <row r="75" spans="1:2" x14ac:dyDescent="0.3">
      <c r="A75" s="23">
        <v>42526</v>
      </c>
      <c r="B75" s="24">
        <v>3</v>
      </c>
    </row>
    <row r="76" spans="1:2" x14ac:dyDescent="0.3">
      <c r="A76" s="23">
        <v>42533</v>
      </c>
      <c r="B76" s="24">
        <v>1</v>
      </c>
    </row>
    <row r="77" spans="1:2" x14ac:dyDescent="0.3">
      <c r="A77" s="23">
        <v>42540</v>
      </c>
      <c r="B77" s="24">
        <v>1</v>
      </c>
    </row>
    <row r="78" spans="1:2" x14ac:dyDescent="0.3">
      <c r="A78" s="23">
        <v>42547</v>
      </c>
      <c r="B78" s="24">
        <v>1</v>
      </c>
    </row>
    <row r="79" spans="1:2" x14ac:dyDescent="0.3">
      <c r="A79" s="23">
        <v>42554</v>
      </c>
      <c r="B79" s="24">
        <v>2</v>
      </c>
    </row>
    <row r="80" spans="1:2" x14ac:dyDescent="0.3">
      <c r="A80" s="23">
        <v>42561</v>
      </c>
      <c r="B80" s="24">
        <v>2</v>
      </c>
    </row>
    <row r="81" spans="1:2" x14ac:dyDescent="0.3">
      <c r="A81" s="23">
        <v>42568</v>
      </c>
      <c r="B81" s="24">
        <v>2.5</v>
      </c>
    </row>
    <row r="82" spans="1:2" x14ac:dyDescent="0.3">
      <c r="A82" s="23">
        <v>42575</v>
      </c>
      <c r="B82" s="24">
        <v>3</v>
      </c>
    </row>
    <row r="83" spans="1:2" x14ac:dyDescent="0.3">
      <c r="A83" s="23">
        <v>42582</v>
      </c>
      <c r="B83" s="24">
        <v>1</v>
      </c>
    </row>
    <row r="84" spans="1:2" x14ac:dyDescent="0.3">
      <c r="A84" s="23">
        <v>42589</v>
      </c>
      <c r="B84" s="24">
        <v>3</v>
      </c>
    </row>
    <row r="85" spans="1:2" x14ac:dyDescent="0.3">
      <c r="A85" s="23">
        <v>42596</v>
      </c>
      <c r="B85" s="24">
        <v>4</v>
      </c>
    </row>
    <row r="86" spans="1:2" x14ac:dyDescent="0.3">
      <c r="A86" s="23">
        <v>42603</v>
      </c>
      <c r="B86" s="24">
        <v>5</v>
      </c>
    </row>
    <row r="87" spans="1:2" x14ac:dyDescent="0.3">
      <c r="A87" s="23">
        <v>42610</v>
      </c>
      <c r="B87" s="24">
        <v>4</v>
      </c>
    </row>
    <row r="88" spans="1:2" x14ac:dyDescent="0.3">
      <c r="A88" s="23">
        <v>42617</v>
      </c>
      <c r="B88" s="24">
        <v>4</v>
      </c>
    </row>
    <row r="89" spans="1:2" x14ac:dyDescent="0.3">
      <c r="A89" s="23">
        <v>42624</v>
      </c>
      <c r="B89" s="24">
        <v>3</v>
      </c>
    </row>
    <row r="90" spans="1:2" x14ac:dyDescent="0.3">
      <c r="A90" s="23">
        <v>42631</v>
      </c>
      <c r="B90" s="24">
        <v>3</v>
      </c>
    </row>
    <row r="91" spans="1:2" x14ac:dyDescent="0.3">
      <c r="A91" s="23">
        <v>42638</v>
      </c>
      <c r="B91" s="24">
        <v>3</v>
      </c>
    </row>
    <row r="92" spans="1:2" x14ac:dyDescent="0.3">
      <c r="A92" s="23">
        <v>42645</v>
      </c>
      <c r="B92" s="24">
        <v>1</v>
      </c>
    </row>
    <row r="93" spans="1:2" x14ac:dyDescent="0.3">
      <c r="A93" s="23">
        <v>42652</v>
      </c>
      <c r="B93" s="24">
        <v>5</v>
      </c>
    </row>
    <row r="94" spans="1:2" x14ac:dyDescent="0.3">
      <c r="A94" s="23">
        <v>42659</v>
      </c>
      <c r="B94" s="24">
        <v>4</v>
      </c>
    </row>
    <row r="95" spans="1:2" x14ac:dyDescent="0.3">
      <c r="A95" s="23">
        <v>42666</v>
      </c>
      <c r="B95" s="24">
        <v>3</v>
      </c>
    </row>
    <row r="96" spans="1:2" x14ac:dyDescent="0.3">
      <c r="A96" s="23">
        <v>42673</v>
      </c>
      <c r="B96" s="24">
        <v>3</v>
      </c>
    </row>
    <row r="97" spans="1:2" x14ac:dyDescent="0.3">
      <c r="A97" s="23">
        <v>42680</v>
      </c>
      <c r="B97" s="24">
        <v>3</v>
      </c>
    </row>
    <row r="98" spans="1:2" x14ac:dyDescent="0.3">
      <c r="A98" s="23">
        <v>42687</v>
      </c>
      <c r="B98" s="24">
        <v>1</v>
      </c>
    </row>
    <row r="99" spans="1:2" x14ac:dyDescent="0.3">
      <c r="A99" s="23">
        <v>42694</v>
      </c>
      <c r="B99" s="24">
        <v>3</v>
      </c>
    </row>
    <row r="100" spans="1:2" x14ac:dyDescent="0.3">
      <c r="A100" s="23">
        <v>42701</v>
      </c>
      <c r="B100" s="24">
        <v>4</v>
      </c>
    </row>
    <row r="101" spans="1:2" x14ac:dyDescent="0.3">
      <c r="A101" s="23">
        <v>42708</v>
      </c>
      <c r="B101" s="24">
        <v>2</v>
      </c>
    </row>
    <row r="102" spans="1:2" x14ac:dyDescent="0.3">
      <c r="A102" s="23">
        <v>42715</v>
      </c>
      <c r="B102" s="24">
        <v>3</v>
      </c>
    </row>
    <row r="103" spans="1:2" x14ac:dyDescent="0.3">
      <c r="A103" s="23">
        <v>42722</v>
      </c>
      <c r="B103" s="24">
        <v>3</v>
      </c>
    </row>
    <row r="104" spans="1:2" x14ac:dyDescent="0.3">
      <c r="A104" s="23">
        <v>42729</v>
      </c>
      <c r="B104" s="24">
        <v>5</v>
      </c>
    </row>
    <row r="105" spans="1:2" x14ac:dyDescent="0.3">
      <c r="A105" s="23">
        <v>42736</v>
      </c>
      <c r="B105" s="24">
        <v>1</v>
      </c>
    </row>
    <row r="106" spans="1:2" x14ac:dyDescent="0.3">
      <c r="A106" s="23">
        <v>42743</v>
      </c>
      <c r="B106" s="24">
        <v>3</v>
      </c>
    </row>
    <row r="107" spans="1:2" x14ac:dyDescent="0.3">
      <c r="A107" s="23">
        <v>42750</v>
      </c>
      <c r="B107" s="24">
        <v>3</v>
      </c>
    </row>
    <row r="108" spans="1:2" x14ac:dyDescent="0.3">
      <c r="A108" s="23">
        <v>42757</v>
      </c>
      <c r="B108" s="24">
        <v>2</v>
      </c>
    </row>
    <row r="109" spans="1:2" x14ac:dyDescent="0.3">
      <c r="A109" s="23">
        <v>42764</v>
      </c>
      <c r="B109" s="24">
        <v>1</v>
      </c>
    </row>
    <row r="110" spans="1:2" x14ac:dyDescent="0.3">
      <c r="A110" s="23">
        <v>42771</v>
      </c>
      <c r="B110" s="24">
        <v>1</v>
      </c>
    </row>
    <row r="111" spans="1:2" x14ac:dyDescent="0.3">
      <c r="A111" s="23">
        <v>42778</v>
      </c>
      <c r="B111" s="24">
        <v>3</v>
      </c>
    </row>
    <row r="112" spans="1:2" x14ac:dyDescent="0.3">
      <c r="A112" s="23">
        <v>42785</v>
      </c>
      <c r="B112" s="24">
        <v>5</v>
      </c>
    </row>
    <row r="113" spans="1:2" x14ac:dyDescent="0.3">
      <c r="A113" s="23">
        <v>42792</v>
      </c>
      <c r="B113" s="24">
        <v>3</v>
      </c>
    </row>
    <row r="114" spans="1:2" x14ac:dyDescent="0.3">
      <c r="A114" s="23">
        <v>42799</v>
      </c>
      <c r="B114" s="24">
        <v>1</v>
      </c>
    </row>
    <row r="115" spans="1:2" x14ac:dyDescent="0.3">
      <c r="A115" s="23">
        <v>42806</v>
      </c>
      <c r="B115" s="24">
        <v>4</v>
      </c>
    </row>
    <row r="116" spans="1:2" x14ac:dyDescent="0.3">
      <c r="A116" s="23">
        <v>42813</v>
      </c>
      <c r="B116" s="24">
        <v>4</v>
      </c>
    </row>
    <row r="117" spans="1:2" x14ac:dyDescent="0.3">
      <c r="A117" s="23">
        <v>42820</v>
      </c>
      <c r="B117" s="24">
        <v>5</v>
      </c>
    </row>
    <row r="118" spans="1:2" x14ac:dyDescent="0.3">
      <c r="A118" s="23">
        <v>42827</v>
      </c>
      <c r="B118" s="24">
        <v>1</v>
      </c>
    </row>
    <row r="119" spans="1:2" x14ac:dyDescent="0.3">
      <c r="A119" s="23">
        <v>42834</v>
      </c>
      <c r="B119" s="24">
        <v>3</v>
      </c>
    </row>
    <row r="120" spans="1:2" x14ac:dyDescent="0.3">
      <c r="A120" s="23">
        <v>42841</v>
      </c>
      <c r="B120" s="24">
        <v>3</v>
      </c>
    </row>
    <row r="121" spans="1:2" x14ac:dyDescent="0.3">
      <c r="A121" s="23">
        <v>42848</v>
      </c>
      <c r="B121" s="24">
        <v>2.5</v>
      </c>
    </row>
    <row r="122" spans="1:2" x14ac:dyDescent="0.3">
      <c r="A122" s="23">
        <v>42855</v>
      </c>
      <c r="B122" s="24">
        <v>2</v>
      </c>
    </row>
    <row r="123" spans="1:2" x14ac:dyDescent="0.3">
      <c r="A123" s="23">
        <v>42862</v>
      </c>
      <c r="B123" s="24">
        <v>3</v>
      </c>
    </row>
    <row r="124" spans="1:2" x14ac:dyDescent="0.3">
      <c r="A124" s="23">
        <v>42869</v>
      </c>
      <c r="B124" s="24">
        <v>5</v>
      </c>
    </row>
    <row r="125" spans="1:2" x14ac:dyDescent="0.3">
      <c r="A125" s="23">
        <v>42876</v>
      </c>
      <c r="B125" s="24">
        <v>1</v>
      </c>
    </row>
    <row r="126" spans="1:2" x14ac:dyDescent="0.3">
      <c r="A126" s="23">
        <v>42883</v>
      </c>
      <c r="B126" s="24">
        <v>5</v>
      </c>
    </row>
    <row r="127" spans="1:2" x14ac:dyDescent="0.3">
      <c r="A127" s="23">
        <v>42890</v>
      </c>
      <c r="B127" s="24">
        <v>3</v>
      </c>
    </row>
    <row r="128" spans="1:2" x14ac:dyDescent="0.3">
      <c r="A128" s="23">
        <v>42897</v>
      </c>
      <c r="B128" s="24">
        <v>2</v>
      </c>
    </row>
    <row r="129" spans="1:2" x14ac:dyDescent="0.3">
      <c r="A129" s="23">
        <v>42904</v>
      </c>
      <c r="B129" s="24">
        <v>1</v>
      </c>
    </row>
    <row r="130" spans="1:2" x14ac:dyDescent="0.3">
      <c r="A130" s="23">
        <v>42911</v>
      </c>
      <c r="B130" s="24">
        <v>3</v>
      </c>
    </row>
    <row r="131" spans="1:2" x14ac:dyDescent="0.3">
      <c r="A131" s="23">
        <v>42918</v>
      </c>
      <c r="B131" s="24">
        <v>3</v>
      </c>
    </row>
    <row r="132" spans="1:2" x14ac:dyDescent="0.3">
      <c r="A132" s="23">
        <v>42925</v>
      </c>
      <c r="B132" s="24">
        <v>3</v>
      </c>
    </row>
    <row r="133" spans="1:2" x14ac:dyDescent="0.3">
      <c r="A133" s="23">
        <v>42932</v>
      </c>
      <c r="B133" s="24">
        <v>3</v>
      </c>
    </row>
    <row r="134" spans="1:2" x14ac:dyDescent="0.3">
      <c r="A134" s="23">
        <v>42939</v>
      </c>
      <c r="B134" s="24">
        <v>3</v>
      </c>
    </row>
    <row r="135" spans="1:2" x14ac:dyDescent="0.3">
      <c r="A135" s="23">
        <v>42946</v>
      </c>
      <c r="B135" s="24">
        <v>1</v>
      </c>
    </row>
    <row r="136" spans="1:2" x14ac:dyDescent="0.3">
      <c r="A136" s="23">
        <v>42953</v>
      </c>
      <c r="B136" s="24">
        <v>3</v>
      </c>
    </row>
    <row r="137" spans="1:2" x14ac:dyDescent="0.3">
      <c r="A137" s="23">
        <v>42960</v>
      </c>
      <c r="B137" s="24">
        <v>4</v>
      </c>
    </row>
    <row r="138" spans="1:2" x14ac:dyDescent="0.3">
      <c r="A138" s="23">
        <v>42967</v>
      </c>
      <c r="B138" s="24">
        <v>3</v>
      </c>
    </row>
    <row r="139" spans="1:2" x14ac:dyDescent="0.3">
      <c r="A139" s="23">
        <v>42974</v>
      </c>
      <c r="B139" s="24">
        <v>4</v>
      </c>
    </row>
    <row r="140" spans="1:2" x14ac:dyDescent="0.3">
      <c r="A140" s="23">
        <v>42981</v>
      </c>
      <c r="B140" s="24">
        <v>2</v>
      </c>
    </row>
    <row r="141" spans="1:2" x14ac:dyDescent="0.3">
      <c r="A141" s="23">
        <v>42988</v>
      </c>
      <c r="B141" s="24">
        <v>4</v>
      </c>
    </row>
    <row r="142" spans="1:2" x14ac:dyDescent="0.3">
      <c r="A142" s="23">
        <v>42995</v>
      </c>
      <c r="B142" s="24">
        <v>5</v>
      </c>
    </row>
    <row r="143" spans="1:2" x14ac:dyDescent="0.3">
      <c r="A143" s="23">
        <v>43002</v>
      </c>
      <c r="B143" s="24">
        <v>3</v>
      </c>
    </row>
    <row r="144" spans="1:2" x14ac:dyDescent="0.3">
      <c r="A144" s="23">
        <v>43009</v>
      </c>
      <c r="B144" s="24">
        <v>3</v>
      </c>
    </row>
    <row r="145" spans="1:5" x14ac:dyDescent="0.3">
      <c r="A145" s="23">
        <v>43016</v>
      </c>
      <c r="B145" s="24">
        <v>2</v>
      </c>
    </row>
    <row r="146" spans="1:5" x14ac:dyDescent="0.3">
      <c r="A146" s="23">
        <v>43023</v>
      </c>
      <c r="B146" s="24">
        <v>5</v>
      </c>
    </row>
    <row r="147" spans="1:5" x14ac:dyDescent="0.3">
      <c r="A147" s="23">
        <v>43030</v>
      </c>
      <c r="B147" s="24">
        <v>2</v>
      </c>
    </row>
    <row r="148" spans="1:5" x14ac:dyDescent="0.3">
      <c r="A148" s="23">
        <v>43037</v>
      </c>
      <c r="B148" s="24">
        <v>1</v>
      </c>
    </row>
    <row r="149" spans="1:5" x14ac:dyDescent="0.3">
      <c r="A149" s="23">
        <v>43044</v>
      </c>
      <c r="B149" s="24">
        <v>1</v>
      </c>
    </row>
    <row r="150" spans="1:5" x14ac:dyDescent="0.3">
      <c r="A150" s="23">
        <v>43051</v>
      </c>
      <c r="B150" s="24">
        <v>5</v>
      </c>
      <c r="C150" s="24">
        <v>5</v>
      </c>
      <c r="D150" s="24">
        <v>5</v>
      </c>
      <c r="E150" s="24">
        <v>5</v>
      </c>
    </row>
    <row r="151" spans="1:5" x14ac:dyDescent="0.3">
      <c r="A151" s="23">
        <v>43058</v>
      </c>
      <c r="C151" s="24">
        <f t="shared" ref="C151:C188" si="0">_xlfn.FORECAST.ETS(A151,$B$2:$B$150,$A$2:$A$150,1,1)</f>
        <v>2.9747146992640117</v>
      </c>
      <c r="D151" s="24">
        <f t="shared" ref="D151:D188" si="1">C151-_xlfn.FORECAST.ETS.CONFINT(A151,$B$2:$B$150,$A$2:$A$150,0.95,1,1)</f>
        <v>0.30507521447498487</v>
      </c>
      <c r="E151" s="24">
        <f t="shared" ref="E151:E188" si="2">C151+_xlfn.FORECAST.ETS.CONFINT(A151,$B$2:$B$150,$A$2:$A$150,0.95,1,1)</f>
        <v>5.6443541840530385</v>
      </c>
    </row>
    <row r="152" spans="1:5" x14ac:dyDescent="0.3">
      <c r="A152" s="23">
        <v>43065</v>
      </c>
      <c r="C152" s="24">
        <f t="shared" si="0"/>
        <v>2.9800284979058542</v>
      </c>
      <c r="D152" s="24">
        <f t="shared" si="1"/>
        <v>0.28894582392930168</v>
      </c>
      <c r="E152" s="24">
        <f t="shared" si="2"/>
        <v>5.6711111718824068</v>
      </c>
    </row>
    <row r="153" spans="1:5" x14ac:dyDescent="0.3">
      <c r="A153" s="23">
        <v>43072</v>
      </c>
      <c r="C153" s="24">
        <f t="shared" si="0"/>
        <v>2.9853422965476857</v>
      </c>
      <c r="D153" s="24">
        <f t="shared" si="1"/>
        <v>0.27265095468283151</v>
      </c>
      <c r="E153" s="24">
        <f t="shared" si="2"/>
        <v>5.6980336384125394</v>
      </c>
    </row>
    <row r="154" spans="1:5" x14ac:dyDescent="0.3">
      <c r="A154" s="23">
        <v>43079</v>
      </c>
      <c r="C154" s="24">
        <f t="shared" si="0"/>
        <v>2.9906560951895282</v>
      </c>
      <c r="D154" s="24">
        <f t="shared" si="1"/>
        <v>0.25619192339099595</v>
      </c>
      <c r="E154" s="24">
        <f t="shared" si="2"/>
        <v>5.7251202669880605</v>
      </c>
    </row>
    <row r="155" spans="1:5" x14ac:dyDescent="0.3">
      <c r="A155" s="23">
        <v>43086</v>
      </c>
      <c r="C155" s="24">
        <f t="shared" si="0"/>
        <v>2.9959698938313601</v>
      </c>
      <c r="D155" s="24">
        <f t="shared" si="1"/>
        <v>0.2395700345963796</v>
      </c>
      <c r="E155" s="24">
        <f t="shared" si="2"/>
        <v>5.7523697530663407</v>
      </c>
    </row>
    <row r="156" spans="1:5" x14ac:dyDescent="0.3">
      <c r="A156" s="23">
        <v>43093</v>
      </c>
      <c r="C156" s="24">
        <f t="shared" si="0"/>
        <v>3.0012836924732027</v>
      </c>
      <c r="D156" s="24">
        <f t="shared" si="1"/>
        <v>0.22278658043567923</v>
      </c>
      <c r="E156" s="24">
        <f t="shared" si="2"/>
        <v>5.7797808045107262</v>
      </c>
    </row>
    <row r="157" spans="1:5" x14ac:dyDescent="0.3">
      <c r="A157" s="23">
        <v>43100</v>
      </c>
      <c r="C157" s="24">
        <f t="shared" si="0"/>
        <v>3.0065974911150342</v>
      </c>
      <c r="D157" s="24">
        <f t="shared" si="1"/>
        <v>0.20584284037704004</v>
      </c>
      <c r="E157" s="24">
        <f t="shared" si="2"/>
        <v>5.8073521418530287</v>
      </c>
    </row>
    <row r="158" spans="1:5" x14ac:dyDescent="0.3">
      <c r="A158" s="23">
        <v>43107</v>
      </c>
      <c r="C158" s="24">
        <f t="shared" si="0"/>
        <v>3.0119112897568767</v>
      </c>
      <c r="D158" s="24">
        <f t="shared" si="1"/>
        <v>0.18874008098658424</v>
      </c>
      <c r="E158" s="24">
        <f t="shared" si="2"/>
        <v>5.8350824985271696</v>
      </c>
    </row>
    <row r="159" spans="1:5" x14ac:dyDescent="0.3">
      <c r="A159" s="23">
        <v>43114</v>
      </c>
      <c r="C159" s="24">
        <f t="shared" si="0"/>
        <v>3.0172250883987086</v>
      </c>
      <c r="D159" s="24">
        <f t="shared" si="1"/>
        <v>0.17147955572227902</v>
      </c>
      <c r="E159" s="24">
        <f t="shared" si="2"/>
        <v>5.8629706210751387</v>
      </c>
    </row>
    <row r="160" spans="1:5" x14ac:dyDescent="0.3">
      <c r="A160" s="23">
        <v>43121</v>
      </c>
      <c r="C160" s="24">
        <f t="shared" si="0"/>
        <v>3.0225388870405512</v>
      </c>
      <c r="D160" s="24">
        <f t="shared" si="1"/>
        <v>0.15406250475404626</v>
      </c>
      <c r="E160" s="24">
        <f t="shared" si="2"/>
        <v>5.8910152693270561</v>
      </c>
    </row>
    <row r="161" spans="1:5" x14ac:dyDescent="0.3">
      <c r="A161" s="23">
        <v>43128</v>
      </c>
      <c r="C161" s="24">
        <f t="shared" si="0"/>
        <v>3.0278526856823831</v>
      </c>
      <c r="D161" s="24">
        <f t="shared" si="1"/>
        <v>0.13649015480834281</v>
      </c>
      <c r="E161" s="24">
        <f t="shared" si="2"/>
        <v>5.9192152165564238</v>
      </c>
    </row>
    <row r="162" spans="1:5" x14ac:dyDescent="0.3">
      <c r="A162" s="23">
        <v>43135</v>
      </c>
      <c r="C162" s="24">
        <f t="shared" si="0"/>
        <v>3.0331664843242252</v>
      </c>
      <c r="D162" s="24">
        <f t="shared" si="1"/>
        <v>0.1187637190362163</v>
      </c>
      <c r="E162" s="24">
        <f t="shared" si="2"/>
        <v>5.9475692496122345</v>
      </c>
    </row>
    <row r="163" spans="1:5" x14ac:dyDescent="0.3">
      <c r="A163" s="23">
        <v>43142</v>
      </c>
      <c r="C163" s="24">
        <f t="shared" si="0"/>
        <v>3.0384802829660571</v>
      </c>
      <c r="D163" s="24">
        <f t="shared" si="1"/>
        <v>0.10088439690316875</v>
      </c>
      <c r="E163" s="24">
        <f t="shared" si="2"/>
        <v>5.9760761690289455</v>
      </c>
    </row>
    <row r="164" spans="1:5" x14ac:dyDescent="0.3">
      <c r="A164" s="23">
        <v>43149</v>
      </c>
      <c r="C164" s="24">
        <f t="shared" si="0"/>
        <v>3.0437940816078997</v>
      </c>
      <c r="D164" s="24">
        <f t="shared" si="1"/>
        <v>8.2853374099907118E-2</v>
      </c>
      <c r="E164" s="24">
        <f t="shared" si="2"/>
        <v>6.0047347891158918</v>
      </c>
    </row>
    <row r="165" spans="1:5" x14ac:dyDescent="0.3">
      <c r="A165" s="23">
        <v>43156</v>
      </c>
      <c r="C165" s="24">
        <f t="shared" si="0"/>
        <v>3.0491078802497316</v>
      </c>
      <c r="D165" s="24">
        <f t="shared" si="1"/>
        <v>6.4671822472428975E-2</v>
      </c>
      <c r="E165" s="24">
        <f t="shared" si="2"/>
        <v>6.0335439380270337</v>
      </c>
    </row>
    <row r="166" spans="1:5" x14ac:dyDescent="0.3">
      <c r="A166" s="23">
        <v>43163</v>
      </c>
      <c r="C166" s="24">
        <f t="shared" si="0"/>
        <v>3.0544216788915737</v>
      </c>
      <c r="D166" s="24">
        <f t="shared" si="1"/>
        <v>4.6340899970610305E-2</v>
      </c>
      <c r="E166" s="24">
        <f t="shared" si="2"/>
        <v>6.0625024578125366</v>
      </c>
    </row>
    <row r="167" spans="1:5" x14ac:dyDescent="0.3">
      <c r="A167" s="23">
        <v>43170</v>
      </c>
      <c r="C167" s="24">
        <f t="shared" si="0"/>
        <v>3.0597354775334056</v>
      </c>
      <c r="D167" s="24">
        <f t="shared" si="1"/>
        <v>2.7861750613836556E-2</v>
      </c>
      <c r="E167" s="24">
        <f t="shared" si="2"/>
        <v>6.0916092044529746</v>
      </c>
    </row>
    <row r="168" spans="1:5" x14ac:dyDescent="0.3">
      <c r="A168" s="23">
        <v>43177</v>
      </c>
      <c r="C168" s="24">
        <f t="shared" si="0"/>
        <v>3.0650492761752481</v>
      </c>
      <c r="D168" s="24">
        <f t="shared" si="1"/>
        <v>9.2355044729370839E-3</v>
      </c>
      <c r="E168" s="24">
        <f t="shared" si="2"/>
        <v>6.1208630478775596</v>
      </c>
    </row>
    <row r="169" spans="1:5" x14ac:dyDescent="0.3">
      <c r="A169" s="23">
        <v>43184</v>
      </c>
      <c r="C169" s="24">
        <f t="shared" si="0"/>
        <v>3.07036307481708</v>
      </c>
      <c r="D169" s="24">
        <f t="shared" si="1"/>
        <v>-9.536722332943004E-3</v>
      </c>
      <c r="E169" s="24">
        <f t="shared" si="2"/>
        <v>6.1502628719671026</v>
      </c>
    </row>
    <row r="170" spans="1:5" x14ac:dyDescent="0.3">
      <c r="A170" s="23">
        <v>43191</v>
      </c>
      <c r="C170" s="24">
        <f t="shared" si="0"/>
        <v>3.0756768734589226</v>
      </c>
      <c r="D170" s="24">
        <f t="shared" si="1"/>
        <v>-2.8453827625176231E-2</v>
      </c>
      <c r="E170" s="24">
        <f t="shared" si="2"/>
        <v>6.1798075745430214</v>
      </c>
    </row>
    <row r="171" spans="1:5" x14ac:dyDescent="0.3">
      <c r="A171" s="23">
        <v>43198</v>
      </c>
      <c r="C171" s="24">
        <f t="shared" si="0"/>
        <v>3.0809906721007541</v>
      </c>
      <c r="D171" s="24">
        <f t="shared" si="1"/>
        <v>-4.7514723141481863E-2</v>
      </c>
      <c r="E171" s="24">
        <f t="shared" si="2"/>
        <v>6.2094960673429895</v>
      </c>
    </row>
    <row r="172" spans="1:5" x14ac:dyDescent="0.3">
      <c r="A172" s="23">
        <v>43205</v>
      </c>
      <c r="C172" s="24">
        <f t="shared" si="0"/>
        <v>3.0863044707425966</v>
      </c>
      <c r="D172" s="24">
        <f t="shared" si="1"/>
        <v>-6.6718334499298759E-2</v>
      </c>
      <c r="E172" s="24">
        <f t="shared" si="2"/>
        <v>6.2393272759844915</v>
      </c>
    </row>
    <row r="173" spans="1:5" x14ac:dyDescent="0.3">
      <c r="A173" s="23">
        <v>43212</v>
      </c>
      <c r="C173" s="24">
        <f t="shared" si="0"/>
        <v>3.0916182693844285</v>
      </c>
      <c r="D173" s="24">
        <f t="shared" si="1"/>
        <v>-8.6063601147908564E-2</v>
      </c>
      <c r="E173" s="24">
        <f t="shared" si="2"/>
        <v>6.2693001399167656</v>
      </c>
    </row>
    <row r="174" spans="1:5" x14ac:dyDescent="0.3">
      <c r="A174" s="23">
        <v>43219</v>
      </c>
      <c r="C174" s="24">
        <f t="shared" si="0"/>
        <v>3.0969320680262711</v>
      </c>
      <c r="D174" s="24">
        <f t="shared" si="1"/>
        <v>-0.10554947630977818</v>
      </c>
      <c r="E174" s="24">
        <f t="shared" si="2"/>
        <v>6.2994136123623203</v>
      </c>
    </row>
    <row r="175" spans="1:5" x14ac:dyDescent="0.3">
      <c r="A175" s="23">
        <v>43226</v>
      </c>
      <c r="C175" s="24">
        <f t="shared" si="0"/>
        <v>3.1022458666681025</v>
      </c>
      <c r="D175" s="24">
        <f t="shared" si="1"/>
        <v>-0.12517492691223842</v>
      </c>
      <c r="E175" s="24">
        <f t="shared" si="2"/>
        <v>6.3296666602484439</v>
      </c>
    </row>
    <row r="176" spans="1:5" x14ac:dyDescent="0.3">
      <c r="A176" s="23">
        <v>43233</v>
      </c>
      <c r="C176" s="24">
        <f t="shared" si="0"/>
        <v>3.1075596653099451</v>
      </c>
      <c r="D176" s="24">
        <f t="shared" si="1"/>
        <v>-0.14493893350990872</v>
      </c>
      <c r="E176" s="24">
        <f t="shared" si="2"/>
        <v>6.3600582641297994</v>
      </c>
    </row>
    <row r="177" spans="1:5" x14ac:dyDescent="0.3">
      <c r="A177" s="23">
        <v>43240</v>
      </c>
      <c r="C177" s="24">
        <f t="shared" si="0"/>
        <v>3.112873463951777</v>
      </c>
      <c r="D177" s="24">
        <f t="shared" si="1"/>
        <v>-0.16484049019889513</v>
      </c>
      <c r="E177" s="24">
        <f t="shared" si="2"/>
        <v>6.3905874181024487</v>
      </c>
    </row>
    <row r="178" spans="1:5" x14ac:dyDescent="0.3">
      <c r="A178" s="23">
        <v>43247</v>
      </c>
      <c r="C178" s="24">
        <f t="shared" si="0"/>
        <v>3.1181872625936196</v>
      </c>
      <c r="D178" s="24">
        <f t="shared" si="1"/>
        <v>-0.18487860452309057</v>
      </c>
      <c r="E178" s="24">
        <f t="shared" si="2"/>
        <v>6.4212531297103297</v>
      </c>
    </row>
    <row r="179" spans="1:5" x14ac:dyDescent="0.3">
      <c r="A179" s="23">
        <v>43254</v>
      </c>
      <c r="C179" s="24">
        <f t="shared" si="0"/>
        <v>3.1235010612354515</v>
      </c>
      <c r="D179" s="24">
        <f t="shared" si="1"/>
        <v>-0.20505229737356601</v>
      </c>
      <c r="E179" s="24">
        <f t="shared" si="2"/>
        <v>6.4520544198444689</v>
      </c>
    </row>
    <row r="180" spans="1:5" x14ac:dyDescent="0.3">
      <c r="A180" s="23">
        <v>43261</v>
      </c>
      <c r="C180" s="24">
        <f t="shared" si="0"/>
        <v>3.1288148598772936</v>
      </c>
      <c r="D180" s="24">
        <f t="shared" si="1"/>
        <v>-0.2253606028812829</v>
      </c>
      <c r="E180" s="24">
        <f t="shared" si="2"/>
        <v>6.4829903226358701</v>
      </c>
    </row>
    <row r="181" spans="1:5" x14ac:dyDescent="0.3">
      <c r="A181" s="23">
        <v>43268</v>
      </c>
      <c r="C181" s="24">
        <f t="shared" si="0"/>
        <v>3.1341286585191255</v>
      </c>
      <c r="D181" s="24">
        <f t="shared" si="1"/>
        <v>-0.24580256830405389</v>
      </c>
      <c r="E181" s="24">
        <f t="shared" si="2"/>
        <v>6.5140598853423048</v>
      </c>
    </row>
    <row r="182" spans="1:5" x14ac:dyDescent="0.3">
      <c r="A182" s="23">
        <v>43275</v>
      </c>
      <c r="C182" s="24">
        <f t="shared" si="0"/>
        <v>3.139442457160968</v>
      </c>
      <c r="D182" s="24">
        <f t="shared" si="1"/>
        <v>-0.26637725390794253</v>
      </c>
      <c r="E182" s="24">
        <f t="shared" si="2"/>
        <v>6.5452621682298791</v>
      </c>
    </row>
    <row r="183" spans="1:5" x14ac:dyDescent="0.3">
      <c r="A183" s="23">
        <v>43282</v>
      </c>
      <c r="C183" s="24">
        <f t="shared" si="0"/>
        <v>3.1447562558027999</v>
      </c>
      <c r="D183" s="24">
        <f t="shared" si="1"/>
        <v>-0.28708373284394639</v>
      </c>
      <c r="E183" s="24">
        <f t="shared" si="2"/>
        <v>6.5765962444495463</v>
      </c>
    </row>
    <row r="184" spans="1:5" x14ac:dyDescent="0.3">
      <c r="A184" s="23">
        <v>43289</v>
      </c>
      <c r="C184" s="24">
        <f t="shared" si="0"/>
        <v>3.1500700544446421</v>
      </c>
      <c r="D184" s="24">
        <f t="shared" si="1"/>
        <v>-0.30792109102009713</v>
      </c>
      <c r="E184" s="24">
        <f t="shared" si="2"/>
        <v>6.6080611999093808</v>
      </c>
    </row>
    <row r="185" spans="1:5" x14ac:dyDescent="0.3">
      <c r="A185" s="23">
        <v>43296</v>
      </c>
      <c r="C185" s="24">
        <f t="shared" si="0"/>
        <v>3.155383853086474</v>
      </c>
      <c r="D185" s="24">
        <f t="shared" si="1"/>
        <v>-0.3288884269697796</v>
      </c>
      <c r="E185" s="24">
        <f t="shared" si="2"/>
        <v>6.6396561331427275</v>
      </c>
    </row>
    <row r="186" spans="1:5" x14ac:dyDescent="0.3">
      <c r="A186" s="23">
        <v>43303</v>
      </c>
      <c r="C186" s="24">
        <f t="shared" si="0"/>
        <v>3.1606976517283165</v>
      </c>
      <c r="D186" s="24">
        <f t="shared" si="1"/>
        <v>-0.3499848517163402</v>
      </c>
      <c r="E186" s="24">
        <f t="shared" si="2"/>
        <v>6.6713801551729732</v>
      </c>
    </row>
    <row r="187" spans="1:5" x14ac:dyDescent="0.3">
      <c r="A187" s="23">
        <v>43310</v>
      </c>
      <c r="C187" s="24">
        <f t="shared" si="0"/>
        <v>3.1660114503701484</v>
      </c>
      <c r="D187" s="24">
        <f t="shared" si="1"/>
        <v>-0.37120948863473879</v>
      </c>
      <c r="E187" s="24">
        <f t="shared" si="2"/>
        <v>6.7032323893750352</v>
      </c>
    </row>
    <row r="188" spans="1:5" x14ac:dyDescent="0.3">
      <c r="A188" s="23">
        <v>43317</v>
      </c>
      <c r="C188" s="24">
        <f t="shared" si="0"/>
        <v>3.171325249011991</v>
      </c>
      <c r="D188" s="24">
        <f t="shared" si="1"/>
        <v>-0.3925614733102667</v>
      </c>
      <c r="E188" s="24">
        <f t="shared" si="2"/>
        <v>6.7352119713342482</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9E613-7522-4DCE-B23E-F16FF5CA35C8}">
  <dimension ref="A1:Y33"/>
  <sheetViews>
    <sheetView tabSelected="1" topLeftCell="A4" zoomScaleNormal="100" workbookViewId="0">
      <selection activeCell="C29" sqref="C29"/>
    </sheetView>
  </sheetViews>
  <sheetFormatPr defaultRowHeight="14.4" x14ac:dyDescent="0.3"/>
  <sheetData>
    <row r="1" spans="1:25" ht="14.4" customHeight="1" x14ac:dyDescent="0.3">
      <c r="A1" s="27" t="s">
        <v>309</v>
      </c>
      <c r="B1" s="27"/>
      <c r="C1" s="27"/>
      <c r="D1" s="27"/>
      <c r="E1" s="27"/>
      <c r="F1" s="27"/>
      <c r="G1" s="27"/>
      <c r="H1" s="27"/>
      <c r="I1" s="27"/>
      <c r="J1" s="27"/>
      <c r="K1" s="27"/>
      <c r="L1" s="27"/>
      <c r="M1" s="27"/>
      <c r="N1" s="27"/>
      <c r="O1" s="27"/>
      <c r="P1" s="27"/>
      <c r="Q1" s="27"/>
      <c r="R1" s="27"/>
      <c r="S1" s="27"/>
      <c r="T1" s="27"/>
      <c r="U1" s="27"/>
      <c r="V1" s="27"/>
      <c r="W1" s="27"/>
      <c r="X1" s="27"/>
      <c r="Y1" s="27"/>
    </row>
    <row r="2" spans="1:25" ht="14.4" customHeight="1" x14ac:dyDescent="0.3">
      <c r="A2" s="27"/>
      <c r="B2" s="27"/>
      <c r="C2" s="27"/>
      <c r="D2" s="27"/>
      <c r="E2" s="27"/>
      <c r="F2" s="27"/>
      <c r="G2" s="27"/>
      <c r="H2" s="27"/>
      <c r="I2" s="27"/>
      <c r="J2" s="27"/>
      <c r="K2" s="27"/>
      <c r="L2" s="27"/>
      <c r="M2" s="27"/>
      <c r="N2" s="27"/>
      <c r="O2" s="27"/>
      <c r="P2" s="27"/>
      <c r="Q2" s="27"/>
      <c r="R2" s="27"/>
      <c r="S2" s="27"/>
      <c r="T2" s="27"/>
      <c r="U2" s="27"/>
      <c r="V2" s="27"/>
      <c r="W2" s="27"/>
      <c r="X2" s="27"/>
      <c r="Y2" s="27"/>
    </row>
    <row r="3" spans="1:25" ht="14.4" customHeight="1" x14ac:dyDescent="0.3">
      <c r="A3" s="27"/>
      <c r="B3" s="27"/>
      <c r="C3" s="27"/>
      <c r="D3" s="27"/>
      <c r="E3" s="27"/>
      <c r="F3" s="27"/>
      <c r="G3" s="27"/>
      <c r="H3" s="27"/>
      <c r="I3" s="27"/>
      <c r="J3" s="27"/>
      <c r="K3" s="27"/>
      <c r="L3" s="27"/>
      <c r="M3" s="27"/>
      <c r="N3" s="27"/>
      <c r="O3" s="27"/>
      <c r="P3" s="27"/>
      <c r="Q3" s="27"/>
      <c r="R3" s="27"/>
      <c r="S3" s="27"/>
      <c r="T3" s="27"/>
      <c r="U3" s="27"/>
      <c r="V3" s="27"/>
      <c r="W3" s="27"/>
      <c r="X3" s="27"/>
      <c r="Y3" s="27"/>
    </row>
    <row r="4" spans="1:25" ht="14.4" customHeight="1" x14ac:dyDescent="0.3">
      <c r="A4" s="27"/>
      <c r="B4" s="27"/>
      <c r="C4" s="27"/>
      <c r="D4" s="27"/>
      <c r="E4" s="27"/>
      <c r="F4" s="27"/>
      <c r="G4" s="27"/>
      <c r="H4" s="27"/>
      <c r="I4" s="27"/>
      <c r="J4" s="27"/>
      <c r="K4" s="27"/>
      <c r="L4" s="27"/>
      <c r="M4" s="27"/>
      <c r="N4" s="27"/>
      <c r="O4" s="27"/>
      <c r="P4" s="27"/>
      <c r="Q4" s="27"/>
      <c r="R4" s="27"/>
      <c r="S4" s="27"/>
      <c r="T4" s="27"/>
      <c r="U4" s="27"/>
      <c r="V4" s="27"/>
      <c r="W4" s="27"/>
      <c r="X4" s="27"/>
      <c r="Y4" s="27"/>
    </row>
    <row r="5" spans="1:25" x14ac:dyDescent="0.3">
      <c r="A5" s="26"/>
      <c r="B5" s="26"/>
      <c r="C5" s="26"/>
      <c r="D5" s="26"/>
      <c r="E5" s="26"/>
      <c r="F5" s="26"/>
      <c r="G5" s="26"/>
      <c r="H5" s="26"/>
      <c r="I5" s="26"/>
      <c r="J5" s="26"/>
      <c r="K5" s="26"/>
      <c r="L5" s="26"/>
      <c r="M5" s="26"/>
      <c r="N5" s="26"/>
      <c r="O5" s="26"/>
      <c r="P5" s="26"/>
      <c r="Q5" s="26"/>
      <c r="R5" s="26"/>
      <c r="S5" s="26"/>
      <c r="T5" s="26"/>
      <c r="U5" s="26"/>
      <c r="V5" s="26"/>
      <c r="W5" s="26"/>
      <c r="X5" s="26"/>
      <c r="Y5" s="26"/>
    </row>
    <row r="6" spans="1:25" x14ac:dyDescent="0.3">
      <c r="A6" s="26"/>
      <c r="B6" s="26"/>
      <c r="C6" s="26"/>
      <c r="D6" s="26"/>
      <c r="E6" s="26"/>
      <c r="F6" s="26"/>
      <c r="G6" s="26"/>
      <c r="H6" s="26"/>
      <c r="I6" s="26"/>
      <c r="J6" s="26"/>
      <c r="K6" s="26"/>
      <c r="L6" s="26"/>
      <c r="M6" s="26"/>
      <c r="N6" s="26"/>
      <c r="O6" s="26"/>
      <c r="P6" s="26"/>
      <c r="Q6" s="26"/>
      <c r="R6" s="26"/>
      <c r="S6" s="26"/>
      <c r="T6" s="26"/>
      <c r="U6" s="26"/>
      <c r="V6" s="26"/>
      <c r="W6" s="26"/>
      <c r="X6" s="26"/>
      <c r="Y6" s="26"/>
    </row>
    <row r="7" spans="1:25" x14ac:dyDescent="0.3">
      <c r="A7" s="26"/>
      <c r="B7" s="26"/>
      <c r="C7" s="26"/>
      <c r="D7" s="26"/>
      <c r="E7" s="26"/>
      <c r="F7" s="26"/>
      <c r="G7" s="26"/>
      <c r="H7" s="26"/>
      <c r="I7" s="26"/>
      <c r="J7" s="26"/>
      <c r="K7" s="26"/>
      <c r="L7" s="26"/>
      <c r="M7" s="26"/>
      <c r="N7" s="26"/>
      <c r="O7" s="26"/>
      <c r="P7" s="26"/>
      <c r="Q7" s="26"/>
      <c r="R7" s="26"/>
      <c r="S7" s="26"/>
      <c r="T7" s="26"/>
      <c r="U7" s="26"/>
      <c r="V7" s="26"/>
      <c r="W7" s="26"/>
      <c r="X7" s="26"/>
      <c r="Y7" s="26"/>
    </row>
    <row r="8" spans="1:25" x14ac:dyDescent="0.3">
      <c r="A8" s="26"/>
      <c r="B8" s="26"/>
      <c r="C8" s="26"/>
      <c r="D8" s="26"/>
      <c r="E8" s="26"/>
      <c r="F8" s="26"/>
      <c r="G8" s="26"/>
      <c r="H8" s="26"/>
      <c r="I8" s="26"/>
      <c r="J8" s="26"/>
      <c r="K8" s="26"/>
      <c r="L8" s="26"/>
      <c r="M8" s="26"/>
      <c r="N8" s="26"/>
      <c r="O8" s="26"/>
      <c r="P8" s="26"/>
      <c r="Q8" s="26"/>
      <c r="R8" s="26"/>
      <c r="S8" s="26"/>
      <c r="T8" s="26"/>
      <c r="U8" s="26"/>
      <c r="V8" s="26"/>
      <c r="W8" s="26"/>
      <c r="X8" s="26"/>
      <c r="Y8" s="26"/>
    </row>
    <row r="9" spans="1:25" x14ac:dyDescent="0.3">
      <c r="A9" s="26"/>
      <c r="B9" s="26"/>
      <c r="C9" s="26"/>
      <c r="D9" s="26"/>
      <c r="E9" s="26"/>
      <c r="F9" s="26"/>
      <c r="G9" s="26"/>
      <c r="H9" s="26"/>
      <c r="I9" s="26"/>
      <c r="J9" s="26"/>
      <c r="K9" s="26"/>
      <c r="L9" s="26"/>
      <c r="M9" s="26"/>
      <c r="N9" s="26"/>
      <c r="O9" s="26"/>
      <c r="P9" s="26"/>
      <c r="Q9" s="26"/>
      <c r="R9" s="26"/>
      <c r="S9" s="26"/>
      <c r="T9" s="26"/>
      <c r="U9" s="26"/>
      <c r="V9" s="26"/>
      <c r="W9" s="26"/>
      <c r="X9" s="26"/>
      <c r="Y9" s="26"/>
    </row>
    <row r="10" spans="1:25"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row>
    <row r="11" spans="1:25"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row>
    <row r="12" spans="1:25"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row>
    <row r="13" spans="1:25"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row>
    <row r="14" spans="1:25"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row>
    <row r="15" spans="1:25"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row>
    <row r="16" spans="1:25"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row>
    <row r="17" spans="1:25"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row>
    <row r="18" spans="1:25"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row>
    <row r="19" spans="1:25"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row>
    <row r="20" spans="1:25"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row>
    <row r="21" spans="1:25"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row>
    <row r="22" spans="1:25"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row>
    <row r="23" spans="1:25"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row>
    <row r="24" spans="1:25"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row>
    <row r="25" spans="1:25"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row>
    <row r="26" spans="1:25"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spans="1:25"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spans="1:25"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spans="1:25"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spans="1:25"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spans="1:25"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spans="1:25"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spans="1:25"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sheetData>
  <mergeCells count="1">
    <mergeCell ref="A1:Y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6D3AB1-F7F6-4745-8F64-F36DF291E1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Power Query</vt:lpstr>
      <vt:lpstr>Data Set</vt:lpstr>
      <vt:lpstr>Department Vs No of Employee</vt:lpstr>
      <vt:lpstr>Gender Vs Employee</vt:lpstr>
      <vt:lpstr>Rating Vs Dept</vt:lpstr>
      <vt:lpstr>Country Vs Dept Vs Salary</vt:lpstr>
      <vt:lpstr>Year of Joining Vs Rating</vt:lpstr>
      <vt:lpstr>Salary Range Vs Dept</vt:lpstr>
      <vt:lpstr>Trendline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Priya Chandru</cp:lastModifiedBy>
  <dcterms:created xsi:type="dcterms:W3CDTF">2025-05-31T18:11:07Z</dcterms:created>
  <dcterms:modified xsi:type="dcterms:W3CDTF">2025-11-17T02:31:58Z</dcterms:modified>
</cp:coreProperties>
</file>